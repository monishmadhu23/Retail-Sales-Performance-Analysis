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D:\Data Analyst Tech panda course\DA TechPanda Project\"/>
    </mc:Choice>
  </mc:AlternateContent>
  <xr:revisionPtr revIDLastSave="0" documentId="13_ncr:1_{7AC84663-8397-4689-B546-C8523D15083B}" xr6:coauthVersionLast="47" xr6:coauthVersionMax="47" xr10:uidLastSave="{00000000-0000-0000-0000-000000000000}"/>
  <bookViews>
    <workbookView xWindow="1860" yWindow="1860" windowWidth="19200" windowHeight="13200" xr2:uid="{00000000-000D-0000-FFFF-FFFF00000000}"/>
  </bookViews>
  <sheets>
    <sheet name="Raw Data Set" sheetId="7" r:id="rId1"/>
    <sheet name="Notes" sheetId="9" r:id="rId2"/>
    <sheet name="Retail sales Data" sheetId="1" r:id="rId3"/>
    <sheet name="Top 5 Ranking" sheetId="4" r:id="rId4"/>
    <sheet name="Region wise Sales" sheetId="5" r:id="rId5"/>
    <sheet name="Monthly Sales" sheetId="6" r:id="rId6"/>
    <sheet name="look up" sheetId="8" r:id="rId7"/>
  </sheets>
  <definedNames>
    <definedName name="_xlnm._FilterDatabase" localSheetId="0" hidden="1">'Raw Data Set'!$A$1:$J$1</definedName>
    <definedName name="_xlnm._FilterDatabase" localSheetId="2" hidden="1">'Retail sales Data'!$A$1:$L$250</definedName>
    <definedName name="Slicer_Quarter">#N/A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5" l="1"/>
  <c r="E7" i="5"/>
  <c r="E8" i="5"/>
  <c r="E5" i="5"/>
  <c r="D4" i="6"/>
  <c r="B13" i="8"/>
  <c r="B12" i="8"/>
  <c r="B7" i="8"/>
  <c r="B11" i="8"/>
  <c r="B10" i="8"/>
  <c r="B8" i="8"/>
  <c r="B9" i="8"/>
  <c r="D5" i="6"/>
  <c r="D6" i="6"/>
  <c r="D7" i="6"/>
  <c r="D8" i="6"/>
  <c r="D9" i="6"/>
  <c r="D10" i="6"/>
  <c r="D11" i="6"/>
  <c r="D12" i="6"/>
  <c r="D13" i="6"/>
  <c r="D14" i="6"/>
  <c r="D15" i="6"/>
  <c r="D16" i="6"/>
  <c r="D6" i="5"/>
  <c r="D7" i="5"/>
  <c r="D8" i="5"/>
  <c r="D5" i="5"/>
  <c r="G7" i="4"/>
  <c r="F7" i="4" s="1"/>
  <c r="G8" i="4"/>
  <c r="F8" i="4" s="1"/>
  <c r="G9" i="4"/>
  <c r="F9" i="4" s="1"/>
  <c r="G10" i="4"/>
  <c r="F10" i="4" s="1"/>
  <c r="G6" i="4"/>
  <c r="F6" i="4" s="1"/>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 i="1"/>
  <c r="J236"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7" i="1"/>
  <c r="J238" i="1"/>
  <c r="J239" i="1"/>
  <c r="J240" i="1"/>
  <c r="J241" i="1"/>
  <c r="J242" i="1"/>
  <c r="J243" i="1"/>
  <c r="J244" i="1"/>
  <c r="J245" i="1"/>
  <c r="J246" i="1"/>
  <c r="J247" i="1"/>
  <c r="J248" i="1"/>
  <c r="J249" i="1"/>
  <c r="J250" i="1"/>
  <c r="J3" i="1"/>
  <c r="J4" i="1"/>
  <c r="J5" i="1"/>
  <c r="J6" i="1"/>
  <c r="J7" i="1"/>
  <c r="J8" i="1"/>
  <c r="J2" i="1"/>
  <c r="I3" i="1"/>
  <c r="I4" i="1"/>
  <c r="I5" i="1"/>
  <c r="I6" i="1"/>
  <c r="I7" i="1"/>
  <c r="I8" i="1"/>
  <c r="I9" i="1"/>
  <c r="I10" i="1"/>
  <c r="I11" i="1"/>
  <c r="I12" i="1"/>
  <c r="I13" i="1"/>
  <c r="I14" i="1"/>
  <c r="I15" i="1"/>
  <c r="I16" i="1"/>
  <c r="I17" i="1"/>
  <c r="I18" i="1"/>
  <c r="I19" i="1"/>
  <c r="I20" i="1"/>
  <c r="I21" i="1"/>
  <c r="I22" i="1"/>
  <c r="I23" i="1"/>
  <c r="B14" i="8" s="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 i="1"/>
  <c r="Q79" i="1"/>
</calcChain>
</file>

<file path=xl/sharedStrings.xml><?xml version="1.0" encoding="utf-8"?>
<sst xmlns="http://schemas.openxmlformats.org/spreadsheetml/2006/main" count="2896" uniqueCount="314">
  <si>
    <t>Order_ID</t>
  </si>
  <si>
    <t>Order_Date</t>
  </si>
  <si>
    <t>Customer_Name</t>
  </si>
  <si>
    <t>Region</t>
  </si>
  <si>
    <t>Product</t>
  </si>
  <si>
    <t>Category</t>
  </si>
  <si>
    <t>Quantity</t>
  </si>
  <si>
    <t>Price</t>
  </si>
  <si>
    <t>Sales</t>
  </si>
  <si>
    <t>Customer_24</t>
  </si>
  <si>
    <t>Customer_27</t>
  </si>
  <si>
    <t>Customer_31</t>
  </si>
  <si>
    <t>Customer_32</t>
  </si>
  <si>
    <t>Customer_12</t>
  </si>
  <si>
    <t>Customer_29</t>
  </si>
  <si>
    <t>Customer_33</t>
  </si>
  <si>
    <t>Customer_7</t>
  </si>
  <si>
    <t>Customer_35</t>
  </si>
  <si>
    <t>Customer_13</t>
  </si>
  <si>
    <t>Customer_50</t>
  </si>
  <si>
    <t>Customer_8</t>
  </si>
  <si>
    <t>Customer_10</t>
  </si>
  <si>
    <t>Customer_2</t>
  </si>
  <si>
    <t>Customer_44</t>
  </si>
  <si>
    <t>Customer_1</t>
  </si>
  <si>
    <t>Customer_41</t>
  </si>
  <si>
    <t>Customer_38</t>
  </si>
  <si>
    <t>Customer_46</t>
  </si>
  <si>
    <t>Customer_36</t>
  </si>
  <si>
    <t>Customer_19</t>
  </si>
  <si>
    <t>Customer_20</t>
  </si>
  <si>
    <t>Customer_4</t>
  </si>
  <si>
    <t>Customer_34</t>
  </si>
  <si>
    <t>Customer_5</t>
  </si>
  <si>
    <t>Customer_42</t>
  </si>
  <si>
    <t>Customer_37</t>
  </si>
  <si>
    <t>Customer_25</t>
  </si>
  <si>
    <t>Customer_15</t>
  </si>
  <si>
    <t>Customer_48</t>
  </si>
  <si>
    <t>Customer_28</t>
  </si>
  <si>
    <t>Customer_39</t>
  </si>
  <si>
    <t>Customer_11</t>
  </si>
  <si>
    <t>Customer_40</t>
  </si>
  <si>
    <t>Customer_9</t>
  </si>
  <si>
    <t>Customer_45</t>
  </si>
  <si>
    <t>Customer_21</t>
  </si>
  <si>
    <t>Customer_14</t>
  </si>
  <si>
    <t>Customer_26</t>
  </si>
  <si>
    <t>Customer_47</t>
  </si>
  <si>
    <t>Customer_43</t>
  </si>
  <si>
    <t>Customer_23</t>
  </si>
  <si>
    <t>Customer_22</t>
  </si>
  <si>
    <t>Customer_6</t>
  </si>
  <si>
    <t>Customer_3</t>
  </si>
  <si>
    <t>Customer_17</t>
  </si>
  <si>
    <t>Customer_30</t>
  </si>
  <si>
    <t>Customer_16</t>
  </si>
  <si>
    <t>Customer_49</t>
  </si>
  <si>
    <t>Customer_18</t>
  </si>
  <si>
    <t>East</t>
  </si>
  <si>
    <t>West</t>
  </si>
  <si>
    <t>North</t>
  </si>
  <si>
    <t>Headphones</t>
  </si>
  <si>
    <t>Phone</t>
  </si>
  <si>
    <t>Laptop</t>
  </si>
  <si>
    <t>Monitor</t>
  </si>
  <si>
    <t>Tablet</t>
  </si>
  <si>
    <t>Electronics</t>
  </si>
  <si>
    <t>Accessories</t>
  </si>
  <si>
    <t>Year</t>
  </si>
  <si>
    <t>Month</t>
  </si>
  <si>
    <t>Quarter</t>
  </si>
  <si>
    <t>South</t>
  </si>
  <si>
    <t>Unknown Customer</t>
  </si>
  <si>
    <t xml:space="preserve"> </t>
  </si>
  <si>
    <t>Unknown Product</t>
  </si>
  <si>
    <t>Unknown Category</t>
  </si>
  <si>
    <t>Row Labels</t>
  </si>
  <si>
    <t>Grand Total</t>
  </si>
  <si>
    <t>Sum of Sales</t>
  </si>
  <si>
    <t>All Products (helper table)</t>
  </si>
  <si>
    <t>Top 5 Ranking (formula-driven)</t>
  </si>
  <si>
    <t>Rank</t>
  </si>
  <si>
    <t>Total Sales</t>
  </si>
  <si>
    <t>Revenue</t>
  </si>
  <si>
    <t>Top 5 Products by Total Sales</t>
  </si>
  <si>
    <t>Count of Order_ID</t>
  </si>
  <si>
    <t>No of orders</t>
  </si>
  <si>
    <t>Average Sale</t>
  </si>
  <si>
    <t>% of Total Revenue</t>
  </si>
  <si>
    <t>January</t>
  </si>
  <si>
    <t>February</t>
  </si>
  <si>
    <t>March</t>
  </si>
  <si>
    <t>April</t>
  </si>
  <si>
    <t>May</t>
  </si>
  <si>
    <t>June</t>
  </si>
  <si>
    <t>July</t>
  </si>
  <si>
    <t>August</t>
  </si>
  <si>
    <t>September</t>
  </si>
  <si>
    <t>October</t>
  </si>
  <si>
    <t>November</t>
  </si>
  <si>
    <t>December</t>
  </si>
  <si>
    <t>Monthly Sales Summary (2023)</t>
  </si>
  <si>
    <t>Total Sales by Region</t>
  </si>
  <si>
    <t>2023-09-02</t>
  </si>
  <si>
    <t>2023-07-17</t>
  </si>
  <si>
    <t>2023-12-21</t>
  </si>
  <si>
    <t>2023-11-23</t>
  </si>
  <si>
    <t xml:space="preserve">south </t>
  </si>
  <si>
    <t>2023-08-16</t>
  </si>
  <si>
    <t>laptop</t>
  </si>
  <si>
    <t>2023-03-08</t>
  </si>
  <si>
    <t>2023-05-08</t>
  </si>
  <si>
    <t>2023-09-01</t>
  </si>
  <si>
    <t>2023-04-11</t>
  </si>
  <si>
    <t>2023-03-23</t>
  </si>
  <si>
    <t>2023-08-25</t>
  </si>
  <si>
    <t>2023-04-30</t>
  </si>
  <si>
    <t>2023-04-05</t>
  </si>
  <si>
    <t>2023-05-20</t>
  </si>
  <si>
    <t>2023-08-11</t>
  </si>
  <si>
    <t>2023-05-16</t>
  </si>
  <si>
    <t>2023-01-11</t>
  </si>
  <si>
    <t>2023-07-18</t>
  </si>
  <si>
    <t>2023-09-05</t>
  </si>
  <si>
    <t>2023-11-21</t>
  </si>
  <si>
    <t>2023-08-03</t>
  </si>
  <si>
    <t>2023-02-10</t>
  </si>
  <si>
    <t>2023-03-16</t>
  </si>
  <si>
    <t>2023-03-30</t>
  </si>
  <si>
    <t>2023-12-16</t>
  </si>
  <si>
    <t>2023-10-20</t>
  </si>
  <si>
    <t>2023-12-06</t>
  </si>
  <si>
    <t>2023-10-26</t>
  </si>
  <si>
    <t>2023-02-18</t>
  </si>
  <si>
    <t>2023-08-29</t>
  </si>
  <si>
    <t>2023-08-05</t>
  </si>
  <si>
    <t>2023-04-17</t>
  </si>
  <si>
    <t>2023-01-22</t>
  </si>
  <si>
    <t>2023-03-19</t>
  </si>
  <si>
    <t>2023-01-10</t>
  </si>
  <si>
    <t>2023-06-09</t>
  </si>
  <si>
    <t>2023-10-04</t>
  </si>
  <si>
    <t>2023-06-06</t>
  </si>
  <si>
    <t>2023-01-17</t>
  </si>
  <si>
    <t>2023-04-10</t>
  </si>
  <si>
    <t>2023-04-20</t>
  </si>
  <si>
    <t>2023-06-25</t>
  </si>
  <si>
    <t>2023-03-22</t>
  </si>
  <si>
    <t>2023-12-28</t>
  </si>
  <si>
    <t>2023-05-31</t>
  </si>
  <si>
    <t>2023-04-09</t>
  </si>
  <si>
    <t>2023-11-09</t>
  </si>
  <si>
    <t>2023-09-25</t>
  </si>
  <si>
    <t>2023-05-02</t>
  </si>
  <si>
    <t>2023-03-10</t>
  </si>
  <si>
    <t>2023-12-19</t>
  </si>
  <si>
    <t>2023-04-28</t>
  </si>
  <si>
    <t>2023-11-20</t>
  </si>
  <si>
    <t>2023-09-03</t>
  </si>
  <si>
    <t>2023-09-24</t>
  </si>
  <si>
    <t>2023-01-07</t>
  </si>
  <si>
    <t>2023-02-28</t>
  </si>
  <si>
    <t>2023-12-02</t>
  </si>
  <si>
    <t>2023-02-07</t>
  </si>
  <si>
    <t>2023-12-26</t>
  </si>
  <si>
    <t>2023-11-04</t>
  </si>
  <si>
    <t>2023-11-01</t>
  </si>
  <si>
    <t>2023-12-10</t>
  </si>
  <si>
    <t>2023-02-22</t>
  </si>
  <si>
    <t>2023-07-02</t>
  </si>
  <si>
    <t>2023-07-15</t>
  </si>
  <si>
    <t>2023-07-28</t>
  </si>
  <si>
    <t>2023-06-19</t>
  </si>
  <si>
    <t>2023-10-29</t>
  </si>
  <si>
    <t>2023-08-27</t>
  </si>
  <si>
    <t>2023-08-13</t>
  </si>
  <si>
    <t>2023-11-13</t>
  </si>
  <si>
    <t>2023-03-31</t>
  </si>
  <si>
    <t>2023-07-09</t>
  </si>
  <si>
    <t>2023-02-11</t>
  </si>
  <si>
    <t>2023-02-26</t>
  </si>
  <si>
    <t>2023-08-06</t>
  </si>
  <si>
    <t>2023-10-05</t>
  </si>
  <si>
    <t>2023-06-17</t>
  </si>
  <si>
    <t>2023-05-27</t>
  </si>
  <si>
    <t>2023-05-26</t>
  </si>
  <si>
    <t>2023-10-03</t>
  </si>
  <si>
    <t>2023-07-04</t>
  </si>
  <si>
    <t>2023-02-05</t>
  </si>
  <si>
    <t>2023-05-17</t>
  </si>
  <si>
    <t>2023-06-14</t>
  </si>
  <si>
    <t>2023-03-14</t>
  </si>
  <si>
    <t>2023-02-24</t>
  </si>
  <si>
    <t>2023-01-20</t>
  </si>
  <si>
    <t>2023-11-18</t>
  </si>
  <si>
    <t>2023-05-23</t>
  </si>
  <si>
    <t>2023-06-05</t>
  </si>
  <si>
    <t>2023-07-10</t>
  </si>
  <si>
    <t>2023-06-22</t>
  </si>
  <si>
    <t>2023-07-26</t>
  </si>
  <si>
    <t>2023-03-02</t>
  </si>
  <si>
    <t>2023-01-28</t>
  </si>
  <si>
    <t>2023-09-21</t>
  </si>
  <si>
    <t>2023-05-05</t>
  </si>
  <si>
    <t>2023-04-02</t>
  </si>
  <si>
    <t>2024-01-01</t>
  </si>
  <si>
    <t>2023-03-28</t>
  </si>
  <si>
    <t>2023-12-07</t>
  </si>
  <si>
    <t>2023-01-26</t>
  </si>
  <si>
    <t>2023-12-05</t>
  </si>
  <si>
    <t>2023-04-29</t>
  </si>
  <si>
    <t>2023-02-03</t>
  </si>
  <si>
    <t>2023-05-03</t>
  </si>
  <si>
    <t>2023-05-25</t>
  </si>
  <si>
    <t>2023-10-28</t>
  </si>
  <si>
    <t>2023-10-23</t>
  </si>
  <si>
    <t>2023-05-10</t>
  </si>
  <si>
    <t>2023-08-24</t>
  </si>
  <si>
    <t>2023-09-13</t>
  </si>
  <si>
    <t>2023-08-28</t>
  </si>
  <si>
    <t>2023-08-22</t>
  </si>
  <si>
    <t>2023-06-20</t>
  </si>
  <si>
    <t>2023-03-26</t>
  </si>
  <si>
    <t>2023-02-13</t>
  </si>
  <si>
    <t>2023-07-19</t>
  </si>
  <si>
    <t>2023-06-13</t>
  </si>
  <si>
    <t>2023-08-17</t>
  </si>
  <si>
    <t>2023-07-11</t>
  </si>
  <si>
    <t>2023-11-11</t>
  </si>
  <si>
    <t>2023-05-21</t>
  </si>
  <si>
    <t>2023-09-10</t>
  </si>
  <si>
    <t>2023-07-24</t>
  </si>
  <si>
    <t>2023-04-12</t>
  </si>
  <si>
    <t>2023-03-03</t>
  </si>
  <si>
    <t>2023-09-23</t>
  </si>
  <si>
    <t>2023-06-18</t>
  </si>
  <si>
    <t>2023-06-16</t>
  </si>
  <si>
    <t>2023-12-08</t>
  </si>
  <si>
    <t>2023-03-09</t>
  </si>
  <si>
    <t>2023-02-09</t>
  </si>
  <si>
    <t>2023-06-01</t>
  </si>
  <si>
    <t>2023-01-06</t>
  </si>
  <si>
    <t>2023-07-30</t>
  </si>
  <si>
    <t>2023-12-27</t>
  </si>
  <si>
    <t>2023-06-10</t>
  </si>
  <si>
    <t>2023-12-30</t>
  </si>
  <si>
    <t>2023-01-25</t>
  </si>
  <si>
    <t>2023-06-12</t>
  </si>
  <si>
    <t>2023-01-14</t>
  </si>
  <si>
    <t>2023-02-25</t>
  </si>
  <si>
    <t>2023-10-19</t>
  </si>
  <si>
    <t>2023-06-15</t>
  </si>
  <si>
    <t>2023-09-08</t>
  </si>
  <si>
    <t>2023-12-13</t>
  </si>
  <si>
    <t>2023-08-02</t>
  </si>
  <si>
    <t>2023-04-19</t>
  </si>
  <si>
    <t>2023-11-25</t>
  </si>
  <si>
    <t>2023-12-01</t>
  </si>
  <si>
    <t>2023-10-01</t>
  </si>
  <si>
    <t>2023-08-23</t>
  </si>
  <si>
    <t>2023-09-29</t>
  </si>
  <si>
    <t>2023-10-16</t>
  </si>
  <si>
    <t>2023-09-26</t>
  </si>
  <si>
    <t>2023-06-11</t>
  </si>
  <si>
    <t>2023-05-11</t>
  </si>
  <si>
    <t>2023-07-14</t>
  </si>
  <si>
    <t>2023-08-20</t>
  </si>
  <si>
    <t>2023-08-26</t>
  </si>
  <si>
    <t>2023-05-13</t>
  </si>
  <si>
    <t>2023-10-13</t>
  </si>
  <si>
    <t>2023-01-04</t>
  </si>
  <si>
    <t>2023-12-24</t>
  </si>
  <si>
    <t>Order Lookup Tool</t>
  </si>
  <si>
    <t>Enter Order_ID:</t>
  </si>
  <si>
    <t>VLOOKUP Results</t>
  </si>
  <si>
    <t>Sales Dataset — Data Cleaning &amp; Analysis</t>
  </si>
  <si>
    <t>WHAT WAS DONE</t>
  </si>
  <si>
    <t>1. Removed duplicates: checked for exact duplicate rows (none found) and duplicate Order_IDs (none found).</t>
  </si>
  <si>
    <t xml:space="preserve">   and Category (e.g. "south " / "South" -&gt; "South", "laptop" / "Laptop" -&gt; "Laptop").</t>
  </si>
  <si>
    <t>3. Handled missing values:</t>
  </si>
  <si>
    <t xml:space="preserve">   - Missing Quantity / Price -&gt; filled with the median value for that Product (a standard, defensible</t>
  </si>
  <si>
    <t xml:space="preserve">     imputation method), then Sales was recalculated as Quantity x Price for every row.</t>
  </si>
  <si>
    <t>4. Formatted dates: Order_Date converted to a true Excel date (yyyy-mm-dd), enabling Year/Month/Quarter extraction.</t>
  </si>
  <si>
    <t>5. New columns added: Sales (formula), Year, Month, Quarter — all formula-driven so they update automatically.</t>
  </si>
  <si>
    <t>SHEETS IN THIS WORKBOOK</t>
  </si>
  <si>
    <t>HOW TO USE</t>
  </si>
  <si>
    <t xml:space="preserve"> - Raw Data Set: the original, unedited data (for reference/audit).</t>
  </si>
  <si>
    <t xml:space="preserve"> - Retail sales Data: the cleaned dataset, with conditional formatting (color scale) on the Sales column.</t>
  </si>
  <si>
    <t xml:space="preserve"> - Top 5 Ranking: the 5 best-selling products by total sales, built with SUMIFS-based formulas + chart.</t>
  </si>
  <si>
    <t xml:space="preserve"> - Region wise Sales: total sales by region (SUMIFS formulas) + chart.</t>
  </si>
  <si>
    <t xml:space="preserve"> - Monthly Sales: monthly sales summary (SUMIFS by month) + trend chart.</t>
  </si>
  <si>
    <t xml:space="preserve"> - look up: a live VLOOKUP demo — type an Order_ID in the yellow cell and the full record</t>
  </si>
  <si>
    <t xml:space="preserve">   (Order_Date, Customer_Name, Region, Product, Category, Quantity, Price, Sales) is pulled automatically.</t>
  </si>
  <si>
    <t xml:space="preserve"> - Summary sheets (Top 5 Ranking, Region wise Sales, Monthly Sales) use formulas referencing</t>
  </si>
  <si>
    <t xml:space="preserve">   Retail sales Data, so if you edit a value there, the summaries and charts update automatically.</t>
  </si>
  <si>
    <t xml:space="preserve"> - To look up an order, go to the 'look up' sheet and type an Order_ID into the yellow cell (B4).</t>
  </si>
  <si>
    <t>Data_Quality_Flag</t>
  </si>
  <si>
    <t>Product unknown</t>
  </si>
  <si>
    <t>Product unknown; Category unknown</t>
  </si>
  <si>
    <t>Date imputed (median)</t>
  </si>
  <si>
    <t>Date imputed (median); Product unknown</t>
  </si>
  <si>
    <t>Date imputed (median); Product unknown; Category unknown</t>
  </si>
  <si>
    <t>Quantity_Flag</t>
  </si>
  <si>
    <t>Price_Flag</t>
  </si>
  <si>
    <t>Original</t>
  </si>
  <si>
    <t>Imputed (Median)</t>
  </si>
  <si>
    <t xml:space="preserve">   - Missing Order_Date -&gt;imputed using median of date from the existing data</t>
  </si>
  <si>
    <t>Imputed Category</t>
  </si>
  <si>
    <t>Date imputed (median); Category Imputed</t>
  </si>
  <si>
    <t xml:space="preserve">   - Product  / Customer_Name -&gt; labeled "Unknown" / "Unknown Customer".</t>
  </si>
  <si>
    <t xml:space="preserve">    -Missing region detucted comparing with Customer_Name and Order_Date and category detucted using python by getting the mode</t>
  </si>
  <si>
    <t>2. Standardized text fields: trimmed whitespace and fixed inconsistent capitalization in Region, Product,using TRIM and PROPER</t>
  </si>
  <si>
    <t xml:space="preserve">Prepared with Excel formulas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</si>
</sst>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Calibri"/>
      <family val="2"/>
      <scheme val="minor"/>
    </font>
    <font>
      <b/>
      <sz val="11"/>
      <color theme="1"/>
      <name val="Calibri"/>
      <family val="2"/>
      <scheme val="minor"/>
    </font>
    <font>
      <b/>
      <sz val="11"/>
      <color rgb="FFFFFFFF"/>
      <name val="Arial"/>
      <charset val="1"/>
    </font>
    <font>
      <sz val="10"/>
      <name val="Arial"/>
      <charset val="1"/>
    </font>
    <font>
      <sz val="11"/>
      <color theme="1"/>
      <name val="Calibri"/>
      <family val="2"/>
      <scheme val="minor"/>
    </font>
    <font>
      <b/>
      <sz val="14"/>
      <color theme="1"/>
      <name val="Cambria"/>
      <family val="1"/>
      <scheme val="major"/>
    </font>
    <font>
      <b/>
      <sz val="10"/>
      <name val="Arial"/>
      <family val="2"/>
    </font>
    <font>
      <b/>
      <sz val="10"/>
      <name val="Arial"/>
      <charset val="1"/>
    </font>
    <font>
      <b/>
      <sz val="16"/>
      <color rgb="FF2F5597"/>
      <name val="Arial"/>
      <charset val="1"/>
    </font>
    <font>
      <i/>
      <sz val="10"/>
      <color rgb="FF595959"/>
      <name val="Arial"/>
      <charset val="1"/>
    </font>
    <font>
      <b/>
      <sz val="16"/>
      <color rgb="FF2F5597"/>
      <name val="Arial"/>
      <family val="2"/>
    </font>
    <font>
      <i/>
      <sz val="10"/>
      <color rgb="FF595959"/>
      <name val="Arial"/>
      <family val="2"/>
    </font>
    <font>
      <sz val="10"/>
      <name val="Arial"/>
      <family val="2"/>
    </font>
    <font>
      <sz val="11"/>
      <color theme="1"/>
      <name val="Calibri"/>
      <family val="2"/>
      <charset val="1"/>
    </font>
    <font>
      <b/>
      <sz val="11"/>
      <color theme="1"/>
      <name val="Calibri"/>
      <family val="2"/>
      <charset val="1"/>
    </font>
    <font>
      <b/>
      <sz val="16"/>
      <name val="Arial"/>
      <family val="2"/>
    </font>
    <font>
      <sz val="11"/>
      <name val="Arial"/>
      <family val="2"/>
    </font>
    <font>
      <b/>
      <sz val="12"/>
      <name val="Arial"/>
      <family val="2"/>
    </font>
  </fonts>
  <fills count="8">
    <fill>
      <patternFill patternType="none"/>
    </fill>
    <fill>
      <patternFill patternType="gray125"/>
    </fill>
    <fill>
      <patternFill patternType="solid">
        <fgColor rgb="FF2F5597"/>
        <bgColor rgb="FF595959"/>
      </patternFill>
    </fill>
    <fill>
      <patternFill patternType="solid">
        <fgColor theme="4" tint="0.79998168889431442"/>
        <bgColor theme="4" tint="0.79998168889431442"/>
      </patternFill>
    </fill>
    <fill>
      <patternFill patternType="solid">
        <fgColor rgb="FFFFE699"/>
        <bgColor rgb="FFFFF2CC"/>
      </patternFill>
    </fill>
    <fill>
      <patternFill patternType="solid">
        <fgColor theme="4" tint="0.79998168889431442"/>
        <bgColor indexed="64"/>
      </patternFill>
    </fill>
    <fill>
      <patternFill patternType="solid">
        <fgColor rgb="FFFFF2CC"/>
        <bgColor rgb="FFF2F2F2"/>
      </patternFill>
    </fill>
    <fill>
      <patternFill patternType="solid">
        <fgColor rgb="FFD9E1F2"/>
        <bgColor rgb="FFDCE6F2"/>
      </patternFill>
    </fill>
  </fills>
  <borders count="5">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bottom style="thin">
        <color auto="1"/>
      </bottom>
      <diagonal/>
    </border>
    <border>
      <left/>
      <right/>
      <top/>
      <bottom style="thin">
        <color theme="4" tint="0.39997558519241921"/>
      </bottom>
      <diagonal/>
    </border>
  </borders>
  <cellStyleXfs count="9">
    <xf numFmtId="0" fontId="0" fillId="0" borderId="0"/>
    <xf numFmtId="9" fontId="4" fillId="0" borderId="0" applyFont="0" applyFill="0" applyBorder="0" applyAlignment="0" applyProtection="0"/>
    <xf numFmtId="0" fontId="13" fillId="0" borderId="0"/>
    <xf numFmtId="0" fontId="13" fillId="0" borderId="0">
      <alignment horizontal="left"/>
    </xf>
    <xf numFmtId="0" fontId="13" fillId="0" borderId="0"/>
    <xf numFmtId="0" fontId="13" fillId="0" borderId="0"/>
    <xf numFmtId="0" fontId="14" fillId="0" borderId="0"/>
    <xf numFmtId="0" fontId="14" fillId="0" borderId="0">
      <alignment horizontal="left"/>
    </xf>
    <xf numFmtId="0" fontId="13" fillId="0" borderId="0"/>
  </cellStyleXfs>
  <cellXfs count="33">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center"/>
    </xf>
    <xf numFmtId="1" fontId="0" fillId="0" borderId="0" xfId="0" applyNumberFormat="1"/>
    <xf numFmtId="164" fontId="0" fillId="0" borderId="0" xfId="0" applyNumberFormat="1"/>
    <xf numFmtId="0" fontId="5" fillId="0" borderId="3" xfId="0" applyFont="1" applyBorder="1" applyAlignment="1">
      <alignment horizontal="center" vertical="top"/>
    </xf>
    <xf numFmtId="164" fontId="5" fillId="0" borderId="3" xfId="0" applyNumberFormat="1" applyFont="1" applyBorder="1" applyAlignment="1">
      <alignment horizontal="center" vertical="top"/>
    </xf>
    <xf numFmtId="0" fontId="1" fillId="0" borderId="0" xfId="0" applyFont="1" applyAlignment="1">
      <alignment horizontal="center" vertical="center"/>
    </xf>
    <xf numFmtId="164" fontId="1" fillId="0" borderId="0" xfId="0" applyNumberFormat="1" applyFont="1" applyAlignment="1">
      <alignment horizontal="center" vertical="center"/>
    </xf>
    <xf numFmtId="1" fontId="1"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1" fillId="3" borderId="4" xfId="0" applyFont="1" applyFill="1" applyBorder="1"/>
    <xf numFmtId="0" fontId="6" fillId="0" borderId="0" xfId="0" applyFont="1"/>
    <xf numFmtId="0" fontId="7" fillId="0" borderId="0" xfId="0" applyFont="1"/>
    <xf numFmtId="0" fontId="3" fillId="4" borderId="2" xfId="0" applyFont="1" applyFill="1" applyBorder="1"/>
    <xf numFmtId="3" fontId="3" fillId="4" borderId="2" xfId="0" applyNumberFormat="1" applyFont="1" applyFill="1" applyBorder="1"/>
    <xf numFmtId="0" fontId="8" fillId="0" borderId="0" xfId="0" applyFont="1"/>
    <xf numFmtId="0" fontId="9" fillId="0" borderId="0" xfId="0" applyFont="1"/>
    <xf numFmtId="0" fontId="1" fillId="5" borderId="0" xfId="0" applyFont="1" applyFill="1"/>
    <xf numFmtId="9" fontId="0" fillId="0" borderId="0" xfId="1" applyFont="1"/>
    <xf numFmtId="9" fontId="1" fillId="5" borderId="0" xfId="1" applyFont="1" applyFill="1"/>
    <xf numFmtId="0" fontId="10" fillId="0" borderId="0" xfId="0" applyFont="1"/>
    <xf numFmtId="0" fontId="11" fillId="0" borderId="0" xfId="0" applyFont="1"/>
    <xf numFmtId="0" fontId="6" fillId="6" borderId="2" xfId="0" applyFont="1" applyFill="1" applyBorder="1"/>
    <xf numFmtId="0" fontId="12" fillId="0" borderId="2" xfId="0" applyFont="1" applyBorder="1"/>
    <xf numFmtId="3" fontId="12" fillId="0" borderId="2" xfId="0" applyNumberFormat="1" applyFont="1" applyBorder="1"/>
    <xf numFmtId="0" fontId="6" fillId="0" borderId="2" xfId="0" applyFont="1" applyBorder="1" applyAlignment="1">
      <alignment horizontal="center" vertical="center"/>
    </xf>
    <xf numFmtId="0" fontId="6" fillId="0" borderId="0" xfId="0" applyFont="1" applyAlignment="1">
      <alignment horizontal="center"/>
    </xf>
    <xf numFmtId="0" fontId="15" fillId="0" borderId="0" xfId="2" applyFont="1" applyAlignment="1">
      <alignment vertical="top"/>
    </xf>
    <xf numFmtId="0" fontId="16" fillId="0" borderId="0" xfId="2" applyFont="1" applyAlignment="1">
      <alignment vertical="top"/>
    </xf>
    <xf numFmtId="0" fontId="17" fillId="7" borderId="0" xfId="2" applyFont="1" applyFill="1" applyAlignment="1">
      <alignment vertical="top"/>
    </xf>
    <xf numFmtId="0" fontId="0" fillId="0" borderId="1" xfId="0" applyBorder="1"/>
  </cellXfs>
  <cellStyles count="9">
    <cellStyle name="Normal" xfId="0" builtinId="0"/>
    <cellStyle name="Normal 2" xfId="2" xr:uid="{672430AA-C6CC-4111-ABD3-1C99EF862E2A}"/>
    <cellStyle name="Percent" xfId="1" builtinId="5"/>
    <cellStyle name="Pivot Table Category" xfId="3" xr:uid="{B5CA88CC-38D3-4FDA-8078-F541333316D8}"/>
    <cellStyle name="Pivot Table Corner" xfId="4" xr:uid="{D96EA2B8-5606-4521-85F6-E37CCF742C56}"/>
    <cellStyle name="Pivot Table Field" xfId="5" xr:uid="{EACE4C64-F954-40D6-A6B9-7977031D9DB7}"/>
    <cellStyle name="Pivot Table Result" xfId="6" xr:uid="{7DBDFD8E-3965-42DF-BD72-00CBB29CC9CD}"/>
    <cellStyle name="Pivot Table Title" xfId="7" xr:uid="{701FE0FC-AB09-4CC1-95FB-D03378CD0A81}"/>
    <cellStyle name="Pivot Table Value" xfId="8" xr:uid="{B9E11292-42ED-4B51-9488-C690ED91CC58}"/>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164" formatCode="[$-14009]dd/mm/yyyy;@"/>
      <alignment horizontal="center" vertical="center" textRotation="0" wrapText="0" indent="0" justifyLastLine="0" shrinkToFit="0" readingOrder="0"/>
    </dxf>
    <dxf>
      <font>
        <b/>
      </font>
      <alignment horizontal="center" vertical="center" textRotation="0" wrapText="0" indent="0" justifyLastLine="0" shrinkToFit="0" readingOrder="0"/>
    </dxf>
    <dxf>
      <border outline="0">
        <top style="thin">
          <color auto="1"/>
        </top>
      </border>
    </dxf>
    <dxf>
      <font>
        <b/>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theme="1"/>
        <name val="Cambria"/>
        <family val="1"/>
        <scheme val="maj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[clean_retail_sales_dataset.xlsx]Top 5 Ranking!PivotTable5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Ranking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Ranking'!$B$5</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Ranking'!$A$6:$A$12</c:f>
              <c:strCache>
                <c:ptCount val="6"/>
                <c:pt idx="0">
                  <c:v>Headphones</c:v>
                </c:pt>
                <c:pt idx="1">
                  <c:v>Laptop</c:v>
                </c:pt>
                <c:pt idx="2">
                  <c:v>Monitor</c:v>
                </c:pt>
                <c:pt idx="3">
                  <c:v>Phone</c:v>
                </c:pt>
                <c:pt idx="4">
                  <c:v>Tablet</c:v>
                </c:pt>
                <c:pt idx="5">
                  <c:v>Unknown Product</c:v>
                </c:pt>
              </c:strCache>
            </c:strRef>
          </c:cat>
          <c:val>
            <c:numRef>
              <c:f>'Top 5 Ranking'!$B$6:$B$12</c:f>
              <c:numCache>
                <c:formatCode>General</c:formatCode>
                <c:ptCount val="6"/>
                <c:pt idx="0">
                  <c:v>1010000</c:v>
                </c:pt>
                <c:pt idx="1">
                  <c:v>2140000</c:v>
                </c:pt>
                <c:pt idx="2">
                  <c:v>1960000</c:v>
                </c:pt>
                <c:pt idx="3">
                  <c:v>1195000</c:v>
                </c:pt>
                <c:pt idx="4">
                  <c:v>1297000</c:v>
                </c:pt>
                <c:pt idx="5">
                  <c:v>1177000</c:v>
                </c:pt>
              </c:numCache>
            </c:numRef>
          </c:val>
          <c:extLst>
            <c:ext xmlns:c16="http://schemas.microsoft.com/office/drawing/2014/chart" uri="{C3380CC4-5D6E-409C-BE32-E72D297353CC}">
              <c16:uniqueId val="{00000000-FC43-40B2-A3FB-5CEA55A54AA8}"/>
            </c:ext>
          </c:extLst>
        </c:ser>
        <c:dLbls>
          <c:dLblPos val="inEnd"/>
          <c:showLegendKey val="0"/>
          <c:showVal val="1"/>
          <c:showCatName val="0"/>
          <c:showSerName val="0"/>
          <c:showPercent val="0"/>
          <c:showBubbleSize val="0"/>
        </c:dLbls>
        <c:gapWidth val="65"/>
        <c:axId val="1179337295"/>
        <c:axId val="605820207"/>
      </c:barChart>
      <c:catAx>
        <c:axId val="11793372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5820207"/>
        <c:crosses val="autoZero"/>
        <c:auto val="1"/>
        <c:lblAlgn val="ctr"/>
        <c:lblOffset val="100"/>
        <c:noMultiLvlLbl val="0"/>
      </c:catAx>
      <c:valAx>
        <c:axId val="6058202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9337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[clean_retail_sales_dataset.xlsx]Region wise Sales!PivotTable6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Total Sales by Region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Sales'!$B$4</c:f>
              <c:strCache>
                <c:ptCount val="1"/>
                <c:pt idx="0">
                  <c:v>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wise Sales'!$A$5:$A$9</c:f>
              <c:strCache>
                <c:ptCount val="4"/>
                <c:pt idx="0">
                  <c:v>East</c:v>
                </c:pt>
                <c:pt idx="1">
                  <c:v>North</c:v>
                </c:pt>
                <c:pt idx="2">
                  <c:v>South</c:v>
                </c:pt>
                <c:pt idx="3">
                  <c:v>West</c:v>
                </c:pt>
              </c:strCache>
            </c:strRef>
          </c:cat>
          <c:val>
            <c:numRef>
              <c:f>'Region wise Sales'!$B$5:$B$9</c:f>
              <c:numCache>
                <c:formatCode>General</c:formatCode>
                <c:ptCount val="4"/>
                <c:pt idx="0">
                  <c:v>399000</c:v>
                </c:pt>
                <c:pt idx="1">
                  <c:v>265000</c:v>
                </c:pt>
                <c:pt idx="2">
                  <c:v>987000</c:v>
                </c:pt>
                <c:pt idx="3">
                  <c:v>87000</c:v>
                </c:pt>
              </c:numCache>
            </c:numRef>
          </c:val>
          <c:extLst>
            <c:ext xmlns:c16="http://schemas.microsoft.com/office/drawing/2014/chart" uri="{C3380CC4-5D6E-409C-BE32-E72D297353CC}">
              <c16:uniqueId val="{00000000-49A5-42C9-826B-E736AA1249AE}"/>
            </c:ext>
          </c:extLst>
        </c:ser>
        <c:ser>
          <c:idx val="1"/>
          <c:order val="1"/>
          <c:tx>
            <c:strRef>
              <c:f>'Region wise Sales'!$C$4</c:f>
              <c:strCache>
                <c:ptCount val="1"/>
                <c:pt idx="0">
                  <c:v>No of orders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wise Sales'!$A$5:$A$9</c:f>
              <c:strCache>
                <c:ptCount val="4"/>
                <c:pt idx="0">
                  <c:v>East</c:v>
                </c:pt>
                <c:pt idx="1">
                  <c:v>North</c:v>
                </c:pt>
                <c:pt idx="2">
                  <c:v>South</c:v>
                </c:pt>
                <c:pt idx="3">
                  <c:v>West</c:v>
                </c:pt>
              </c:strCache>
            </c:strRef>
          </c:cat>
          <c:val>
            <c:numRef>
              <c:f>'Region wise Sales'!$C$5:$C$9</c:f>
              <c:numCache>
                <c:formatCode>General</c:formatCode>
                <c:ptCount val="4"/>
                <c:pt idx="0">
                  <c:v>13</c:v>
                </c:pt>
                <c:pt idx="1">
                  <c:v>9</c:v>
                </c:pt>
                <c:pt idx="2">
                  <c:v>22</c:v>
                </c:pt>
                <c:pt idx="3">
                  <c:v>5</c:v>
                </c:pt>
              </c:numCache>
            </c:numRef>
          </c:val>
          <c:extLst>
            <c:ext xmlns:c16="http://schemas.microsoft.com/office/drawing/2014/chart" uri="{C3380CC4-5D6E-409C-BE32-E72D297353CC}">
              <c16:uniqueId val="{00000001-49A5-42C9-826B-E736AA1249AE}"/>
            </c:ext>
          </c:extLst>
        </c:ser>
        <c:dLbls>
          <c:showLegendKey val="0"/>
          <c:showVal val="0"/>
          <c:showCatName val="0"/>
          <c:showSerName val="0"/>
          <c:showPercent val="0"/>
          <c:showBubbleSize val="0"/>
        </c:dLbls>
        <c:gapWidth val="115"/>
        <c:overlap val="-20"/>
        <c:axId val="1183606911"/>
        <c:axId val="605865807"/>
      </c:barChart>
      <c:catAx>
        <c:axId val="11836069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5865807"/>
        <c:crosses val="autoZero"/>
        <c:auto val="1"/>
        <c:lblAlgn val="ctr"/>
        <c:lblOffset val="100"/>
        <c:noMultiLvlLbl val="0"/>
      </c:catAx>
      <c:valAx>
        <c:axId val="6058658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360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[clean_retail_sales_dataset.xlsx]Monthly Sales!PivotTable7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Sales Summary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Sum of Sales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695000</c:v>
                </c:pt>
                <c:pt idx="1">
                  <c:v>903000</c:v>
                </c:pt>
                <c:pt idx="2">
                  <c:v>696000</c:v>
                </c:pt>
                <c:pt idx="3">
                  <c:v>788000</c:v>
                </c:pt>
                <c:pt idx="4">
                  <c:v>485000</c:v>
                </c:pt>
                <c:pt idx="5">
                  <c:v>1720000</c:v>
                </c:pt>
                <c:pt idx="6">
                  <c:v>496000</c:v>
                </c:pt>
                <c:pt idx="7">
                  <c:v>648000</c:v>
                </c:pt>
                <c:pt idx="8">
                  <c:v>610000</c:v>
                </c:pt>
                <c:pt idx="9">
                  <c:v>408000</c:v>
                </c:pt>
                <c:pt idx="10">
                  <c:v>565000</c:v>
                </c:pt>
                <c:pt idx="11">
                  <c:v>765000</c:v>
                </c:pt>
              </c:numCache>
            </c:numRef>
          </c:val>
          <c:smooth val="0"/>
          <c:extLst>
            <c:ext xmlns:c16="http://schemas.microsoft.com/office/drawing/2014/chart" uri="{C3380CC4-5D6E-409C-BE32-E72D297353CC}">
              <c16:uniqueId val="{00000000-8380-432E-A5AE-62912A3D3044}"/>
            </c:ext>
          </c:extLst>
        </c:ser>
        <c:ser>
          <c:idx val="1"/>
          <c:order val="1"/>
          <c:tx>
            <c:strRef>
              <c:f>'Monthly Sales'!$C$3</c:f>
              <c:strCache>
                <c:ptCount val="1"/>
                <c:pt idx="0">
                  <c:v>Count of Order_ID</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Sales'!$C$4:$C$16</c:f>
              <c:numCache>
                <c:formatCode>General</c:formatCode>
                <c:ptCount val="12"/>
                <c:pt idx="0">
                  <c:v>18</c:v>
                </c:pt>
                <c:pt idx="1">
                  <c:v>21</c:v>
                </c:pt>
                <c:pt idx="2">
                  <c:v>20</c:v>
                </c:pt>
                <c:pt idx="3">
                  <c:v>16</c:v>
                </c:pt>
                <c:pt idx="4">
                  <c:v>21</c:v>
                </c:pt>
                <c:pt idx="5">
                  <c:v>49</c:v>
                </c:pt>
                <c:pt idx="6">
                  <c:v>18</c:v>
                </c:pt>
                <c:pt idx="7">
                  <c:v>21</c:v>
                </c:pt>
                <c:pt idx="8">
                  <c:v>16</c:v>
                </c:pt>
                <c:pt idx="9">
                  <c:v>14</c:v>
                </c:pt>
                <c:pt idx="10">
                  <c:v>10</c:v>
                </c:pt>
                <c:pt idx="11">
                  <c:v>25</c:v>
                </c:pt>
              </c:numCache>
            </c:numRef>
          </c:val>
          <c:smooth val="0"/>
          <c:extLst>
            <c:ext xmlns:c16="http://schemas.microsoft.com/office/drawing/2014/chart" uri="{C3380CC4-5D6E-409C-BE32-E72D297353CC}">
              <c16:uniqueId val="{00000001-8380-432E-A5AE-62912A3D3044}"/>
            </c:ext>
          </c:extLst>
        </c:ser>
        <c:dLbls>
          <c:dLblPos val="ctr"/>
          <c:showLegendKey val="0"/>
          <c:showVal val="1"/>
          <c:showCatName val="0"/>
          <c:showSerName val="0"/>
          <c:showPercent val="0"/>
          <c:showBubbleSize val="0"/>
        </c:dLbls>
        <c:marker val="1"/>
        <c:smooth val="0"/>
        <c:axId val="897024895"/>
        <c:axId val="605826927"/>
      </c:lineChart>
      <c:catAx>
        <c:axId val="897024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5826927"/>
        <c:crosses val="autoZero"/>
        <c:auto val="1"/>
        <c:lblAlgn val="ctr"/>
        <c:lblOffset val="100"/>
        <c:noMultiLvlLbl val="0"/>
      </c:catAx>
      <c:valAx>
        <c:axId val="6058269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97024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88900</xdr:colOff>
      <xdr:row>14</xdr:row>
      <xdr:rowOff>139700</xdr:rowOff>
    </xdr:from>
    <xdr:to>
      <xdr:col>6</xdr:col>
      <xdr:colOff>717550</xdr:colOff>
      <xdr:row>29</xdr:row>
      <xdr:rowOff>120650</xdr:rowOff>
    </xdr:to>
    <xdr:graphicFrame macro="">
      <xdr:nvGraphicFramePr>
        <xdr:cNvPr id="2" name="Chart 1">
          <a:extLst>
            <a:ext uri="{FF2B5EF4-FFF2-40B4-BE49-F238E27FC236}">
              <a16:creationId xmlns:a16="http://schemas.microsoft.com/office/drawing/2014/main" id="{644DC475-AEC4-3109-C729-D6FA0CF1F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717550</xdr:colOff>
      <xdr:row>10</xdr:row>
      <xdr:rowOff>76200</xdr:rowOff>
    </xdr:from>
    <xdr:to>
      <xdr:col>11</xdr:col>
      <xdr:colOff>444500</xdr:colOff>
      <xdr:row>25</xdr:row>
      <xdr:rowOff>57150</xdr:rowOff>
    </xdr:to>
    <xdr:graphicFrame macro="">
      <xdr:nvGraphicFramePr>
        <xdr:cNvPr id="2" name="Chart 1">
          <a:extLst>
            <a:ext uri="{FF2B5EF4-FFF2-40B4-BE49-F238E27FC236}">
              <a16:creationId xmlns:a16="http://schemas.microsoft.com/office/drawing/2014/main" id="{16900F03-3042-43D8-B17A-57AFA16CD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647700</xdr:colOff>
      <xdr:row>10</xdr:row>
      <xdr:rowOff>158750</xdr:rowOff>
    </xdr:from>
    <xdr:to>
      <xdr:col>3</xdr:col>
      <xdr:colOff>381000</xdr:colOff>
      <xdr:row>24</xdr:row>
      <xdr:rowOff>104775</xdr:rowOff>
    </xdr:to>
    <mc:AlternateContent xmlns:mc="http://schemas.openxmlformats.org/markup-compatibility/2006" xmlns:a14="http://schemas.microsoft.com/office/drawing/2010/main">
      <mc:Choice Requires="a14">
        <xdr:graphicFrame macro="">
          <xdr:nvGraphicFramePr>
            <xdr:cNvPr id="3" name="Quarter">
              <a:extLst>
                <a:ext uri="{FF2B5EF4-FFF2-40B4-BE49-F238E27FC236}">
                  <a16:creationId xmlns:a16="http://schemas.microsoft.com/office/drawing/2014/main" id="{929CF7AF-CA09-D110-E8FD-151E5A51175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47700" y="207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298450</xdr:colOff>
      <xdr:row>6</xdr:row>
      <xdr:rowOff>139700</xdr:rowOff>
    </xdr:from>
    <xdr:to>
      <xdr:col>12</xdr:col>
      <xdr:colOff>603250</xdr:colOff>
      <xdr:row>21</xdr:row>
      <xdr:rowOff>120650</xdr:rowOff>
    </xdr:to>
    <xdr:graphicFrame macro="">
      <xdr:nvGraphicFramePr>
        <xdr:cNvPr id="2" name="Chart 1">
          <a:extLst>
            <a:ext uri="{FF2B5EF4-FFF2-40B4-BE49-F238E27FC236}">
              <a16:creationId xmlns:a16="http://schemas.microsoft.com/office/drawing/2014/main" id="{B9962DD9-DA94-E7C7-0001-C41EAD938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693522569447" createdVersion="8" refreshedVersion="8" minRefreshableVersion="3" recordCount="249" xr:uid="{8A81AD96-DD1D-48D4-A2B8-AA1B601E14D1}">
  <cacheSource type="worksheet">
    <worksheetSource name="Table1"/>
  </cacheSource>
  <cacheFields count="15">
    <cacheField name="Order_ID" numFmtId="0">
      <sharedItems containsSemiMixedTypes="0" containsString="0" containsNumber="1" containsInteger="1" minValue="1" maxValue="250"/>
    </cacheField>
    <cacheField name="Order_Date" numFmtId="164">
      <sharedItems containsSemiMixedTypes="0" containsNonDate="0" containsDate="1" containsString="0" minDate="2023-01-04T00:00:00" maxDate="2024-01-02T00:00:00"/>
    </cacheField>
    <cacheField name="Customer_Name" numFmtId="0">
      <sharedItems/>
    </cacheField>
    <cacheField name="Region" numFmtId="0">
      <sharedItems count="5">
        <s v="East"/>
        <s v="South"/>
        <s v="West"/>
        <s v="North"/>
        <s v="" u="1"/>
      </sharedItems>
    </cacheField>
    <cacheField name="Product" numFmtId="0">
      <sharedItems count="6">
        <s v="Headphones"/>
        <s v="Unknown Product"/>
        <s v="Laptop"/>
        <s v="Phone"/>
        <s v="Monitor"/>
        <s v="Tablet"/>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0" maxValue="30000"/>
    </cacheField>
    <cacheField name="Sales" numFmtId="0">
      <sharedItems containsSemiMixedTypes="0" containsString="0" containsNumber="1" containsInteger="1" minValue="1000" maxValue="150000"/>
    </cacheField>
    <cacheField name="Year" numFmtId="0">
      <sharedItems containsSemiMixedTypes="0" containsString="0" containsNumber="1" containsInteger="1" minValue="2023" maxValue="2024"/>
    </cacheField>
    <cacheField name="Month" numFmtId="0">
      <sharedItems count="13">
        <s v="September"/>
        <s v="July"/>
        <s v="December"/>
        <s v="November"/>
        <s v="August"/>
        <s v="March"/>
        <s v="June"/>
        <s v="May"/>
        <s v="April"/>
        <s v="January"/>
        <s v="February"/>
        <s v="October"/>
        <s v="Unknown" u="1"/>
      </sharedItems>
    </cacheField>
    <cacheField name="Quarter" numFmtId="0">
      <sharedItems count="5">
        <s v="Q3"/>
        <s v="Q4"/>
        <s v="Q1"/>
        <s v="Q2"/>
        <s v="Unknown" u="1"/>
      </sharedItems>
    </cacheField>
    <cacheField name="Data_Quality_Flag" numFmtId="0">
      <sharedItems/>
    </cacheField>
    <cacheField name="Quantity_Flag" numFmtId="0">
      <sharedItems/>
    </cacheField>
    <cacheField name="Price_Flag" numFmtId="0">
      <sharedItems/>
    </cacheField>
  </cacheFields>
  <extLst>
    <ext xmlns:x14="http://schemas.microsoft.com/office/spreadsheetml/2009/9/main" uri="{725AE2AE-9491-48be-B2B4-4EB974FC3084}">
      <x14:pivotCacheDefinition pivotCacheId="533705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n v="1"/>
    <d v="2023-09-02T00:00:00"/>
    <s v="Customer_24"/>
    <x v="0"/>
    <x v="0"/>
    <s v="Electronics"/>
    <n v="3"/>
    <n v="10000"/>
    <n v="30000"/>
    <n v="2023"/>
    <x v="0"/>
    <x v="0"/>
    <s v="Original"/>
    <s v="Original"/>
    <s v="Original"/>
  </r>
  <r>
    <n v="2"/>
    <d v="2023-07-17T00:00:00"/>
    <s v="Customer_27"/>
    <x v="0"/>
    <x v="1"/>
    <s v="Accessories"/>
    <n v="4"/>
    <n v="5000"/>
    <n v="20000"/>
    <n v="2023"/>
    <x v="1"/>
    <x v="0"/>
    <s v="Product unknown"/>
    <s v="Original"/>
    <s v="Original"/>
  </r>
  <r>
    <n v="3"/>
    <d v="2023-12-21T00:00:00"/>
    <s v="Customer_31"/>
    <x v="0"/>
    <x v="1"/>
    <s v="Accessories"/>
    <n v="3"/>
    <n v="1000"/>
    <n v="3000"/>
    <n v="2023"/>
    <x v="2"/>
    <x v="1"/>
    <s v="Product unknown"/>
    <s v="Original"/>
    <s v="Original"/>
  </r>
  <r>
    <n v="4"/>
    <d v="2023-11-23T00:00:00"/>
    <s v="Customer_32"/>
    <x v="1"/>
    <x v="0"/>
    <s v="Accessories"/>
    <n v="3"/>
    <n v="10000"/>
    <n v="30000"/>
    <n v="2023"/>
    <x v="3"/>
    <x v="1"/>
    <s v="Imputed Category"/>
    <s v="Original"/>
    <s v="Imputed (Median)"/>
  </r>
  <r>
    <n v="5"/>
    <d v="2023-08-16T00:00:00"/>
    <s v="Customer_12"/>
    <x v="1"/>
    <x v="2"/>
    <s v="Electronics"/>
    <n v="2"/>
    <n v="10000"/>
    <n v="20000"/>
    <n v="2023"/>
    <x v="4"/>
    <x v="0"/>
    <s v="Original"/>
    <s v="Original"/>
    <s v="Imputed (Median)"/>
  </r>
  <r>
    <n v="6"/>
    <d v="2023-03-08T00:00:00"/>
    <s v="Customer_29"/>
    <x v="1"/>
    <x v="3"/>
    <s v="Electronics"/>
    <n v="3"/>
    <n v="30000"/>
    <n v="90000"/>
    <n v="2023"/>
    <x v="5"/>
    <x v="2"/>
    <s v="Original"/>
    <s v="Imputed (Median)"/>
    <s v="Original"/>
  </r>
  <r>
    <n v="7"/>
    <d v="2023-06-19T00:00:00"/>
    <s v="Customer_12"/>
    <x v="1"/>
    <x v="2"/>
    <s v="Electronics"/>
    <n v="3"/>
    <n v="10000"/>
    <n v="30000"/>
    <n v="2023"/>
    <x v="6"/>
    <x v="3"/>
    <s v="Date imputed (median); Category Imputed"/>
    <s v="Imputed (Median)"/>
    <s v="Original"/>
  </r>
  <r>
    <n v="8"/>
    <d v="2023-05-08T00:00:00"/>
    <s v="Customer_33"/>
    <x v="2"/>
    <x v="2"/>
    <s v="Accessories"/>
    <n v="3"/>
    <n v="10000"/>
    <n v="30000"/>
    <n v="2023"/>
    <x v="7"/>
    <x v="3"/>
    <s v="Original"/>
    <s v="Imputed (Median)"/>
    <s v="Original"/>
  </r>
  <r>
    <n v="9"/>
    <d v="2023-09-01T00:00:00"/>
    <s v="Customer_7"/>
    <x v="2"/>
    <x v="1"/>
    <s v="Unknown Category"/>
    <n v="3"/>
    <n v="5000"/>
    <n v="15000"/>
    <n v="2023"/>
    <x v="0"/>
    <x v="0"/>
    <s v="Product unknown; Category unknown"/>
    <s v="Imputed (Median)"/>
    <s v="Original"/>
  </r>
  <r>
    <n v="10"/>
    <d v="2023-04-11T00:00:00"/>
    <s v="Customer_35"/>
    <x v="0"/>
    <x v="4"/>
    <s v="Accessories"/>
    <n v="5"/>
    <n v="10000"/>
    <n v="50000"/>
    <n v="2023"/>
    <x v="8"/>
    <x v="3"/>
    <s v="Original"/>
    <s v="Original"/>
    <s v="Imputed (Median)"/>
  </r>
  <r>
    <n v="11"/>
    <d v="2023-06-19T00:00:00"/>
    <s v="Customer_13"/>
    <x v="1"/>
    <x v="2"/>
    <s v="Electronics"/>
    <n v="4"/>
    <n v="1000"/>
    <n v="4000"/>
    <n v="2023"/>
    <x v="6"/>
    <x v="3"/>
    <s v="Date imputed (median)"/>
    <s v="Original"/>
    <s v="Original"/>
  </r>
  <r>
    <n v="12"/>
    <d v="2023-03-23T00:00:00"/>
    <s v="Customer_50"/>
    <x v="0"/>
    <x v="5"/>
    <s v="Electronics"/>
    <n v="3"/>
    <n v="1000"/>
    <n v="3000"/>
    <n v="2023"/>
    <x v="5"/>
    <x v="2"/>
    <s v="Original"/>
    <s v="Imputed (Median)"/>
    <s v="Original"/>
  </r>
  <r>
    <n v="13"/>
    <d v="2023-06-19T00:00:00"/>
    <s v="Customer_8"/>
    <x v="2"/>
    <x v="3"/>
    <s v="Electronics"/>
    <n v="3"/>
    <n v="30000"/>
    <n v="90000"/>
    <n v="2023"/>
    <x v="6"/>
    <x v="3"/>
    <s v="Date imputed (median); Category Imputed"/>
    <s v="Original"/>
    <s v="Original"/>
  </r>
  <r>
    <n v="14"/>
    <d v="2023-08-25T00:00:00"/>
    <s v="Unknown Customer"/>
    <x v="3"/>
    <x v="4"/>
    <s v="Accessories"/>
    <n v="5"/>
    <n v="10000"/>
    <n v="50000"/>
    <n v="2023"/>
    <x v="4"/>
    <x v="0"/>
    <s v="Original"/>
    <s v="Original"/>
    <s v="Imputed (Median)"/>
  </r>
  <r>
    <n v="15"/>
    <d v="2023-04-30T00:00:00"/>
    <s v="Customer_2"/>
    <x v="0"/>
    <x v="2"/>
    <s v="Accessories"/>
    <n v="5"/>
    <n v="20000"/>
    <n v="100000"/>
    <n v="2023"/>
    <x v="8"/>
    <x v="3"/>
    <s v="Original"/>
    <s v="Original"/>
    <s v="Original"/>
  </r>
  <r>
    <n v="16"/>
    <d v="2023-06-19T00:00:00"/>
    <s v="Customer_2"/>
    <x v="3"/>
    <x v="2"/>
    <s v="Electronics"/>
    <n v="2"/>
    <n v="10000"/>
    <n v="20000"/>
    <n v="2023"/>
    <x v="6"/>
    <x v="3"/>
    <s v="Date imputed (median)"/>
    <s v="Original"/>
    <s v="Imputed (Median)"/>
  </r>
  <r>
    <n v="18"/>
    <d v="2023-04-05T00:00:00"/>
    <s v="Customer_33"/>
    <x v="2"/>
    <x v="4"/>
    <s v="Electronics"/>
    <n v="3"/>
    <n v="1000"/>
    <n v="3000"/>
    <n v="2023"/>
    <x v="8"/>
    <x v="3"/>
    <s v="Imputed Category"/>
    <s v="Original"/>
    <s v="Original"/>
  </r>
  <r>
    <n v="19"/>
    <d v="2023-05-20T00:00:00"/>
    <s v="Unknown Customer"/>
    <x v="1"/>
    <x v="2"/>
    <s v="Electronics"/>
    <n v="1"/>
    <n v="10000"/>
    <n v="10000"/>
    <n v="2023"/>
    <x v="7"/>
    <x v="3"/>
    <s v="Original"/>
    <s v="Original"/>
    <s v="Original"/>
  </r>
  <r>
    <n v="20"/>
    <d v="2023-06-19T00:00:00"/>
    <s v="Customer_35"/>
    <x v="1"/>
    <x v="0"/>
    <s v="Accessories"/>
    <n v="1"/>
    <n v="5000"/>
    <n v="5000"/>
    <n v="2023"/>
    <x v="6"/>
    <x v="3"/>
    <s v="Date imputed (median); Category Imputed"/>
    <s v="Original"/>
    <s v="Original"/>
  </r>
  <r>
    <n v="21"/>
    <d v="2023-06-19T00:00:00"/>
    <s v="Customer_44"/>
    <x v="3"/>
    <x v="2"/>
    <s v="Electronics"/>
    <n v="3"/>
    <n v="1000"/>
    <n v="3000"/>
    <n v="2023"/>
    <x v="6"/>
    <x v="3"/>
    <s v="Date imputed (median)"/>
    <s v="Imputed (Median)"/>
    <s v="Original"/>
  </r>
  <r>
    <n v="22"/>
    <d v="2023-08-11T00:00:00"/>
    <s v="Customer_1"/>
    <x v="1"/>
    <x v="1"/>
    <s v="Accessories"/>
    <n v="2"/>
    <n v="20000"/>
    <n v="40000"/>
    <n v="2023"/>
    <x v="4"/>
    <x v="0"/>
    <s v="Product unknown"/>
    <s v="Original"/>
    <s v="Original"/>
  </r>
  <r>
    <n v="23"/>
    <d v="2023-05-16T00:00:00"/>
    <s v="Unknown Customer"/>
    <x v="1"/>
    <x v="4"/>
    <s v="Electronics"/>
    <n v="1"/>
    <n v="10000"/>
    <n v="10000"/>
    <n v="2023"/>
    <x v="7"/>
    <x v="3"/>
    <s v="Original"/>
    <s v="Original"/>
    <s v="Imputed (Median)"/>
  </r>
  <r>
    <n v="24"/>
    <d v="2023-01-11T00:00:00"/>
    <s v="Customer_41"/>
    <x v="0"/>
    <x v="1"/>
    <s v="Unknown Category"/>
    <n v="3"/>
    <n v="10000"/>
    <n v="30000"/>
    <n v="2023"/>
    <x v="9"/>
    <x v="2"/>
    <s v="Product unknown; Category unknown"/>
    <s v="Imputed (Median)"/>
    <s v="Original"/>
  </r>
  <r>
    <n v="25"/>
    <d v="2023-07-18T00:00:00"/>
    <s v="Customer_38"/>
    <x v="1"/>
    <x v="5"/>
    <s v="Accessories"/>
    <n v="2"/>
    <n v="1000"/>
    <n v="2000"/>
    <n v="2023"/>
    <x v="1"/>
    <x v="0"/>
    <s v="Original"/>
    <s v="Original"/>
    <s v="Original"/>
  </r>
  <r>
    <n v="26"/>
    <d v="2023-09-05T00:00:00"/>
    <s v="Customer_44"/>
    <x v="0"/>
    <x v="5"/>
    <s v="Accessories"/>
    <n v="3"/>
    <n v="20000"/>
    <n v="60000"/>
    <n v="2023"/>
    <x v="0"/>
    <x v="0"/>
    <s v="Original"/>
    <s v="Imputed (Median)"/>
    <s v="Original"/>
  </r>
  <r>
    <n v="27"/>
    <d v="2023-11-21T00:00:00"/>
    <s v="Customer_46"/>
    <x v="1"/>
    <x v="3"/>
    <s v="Electronics"/>
    <n v="2"/>
    <n v="10000"/>
    <n v="20000"/>
    <n v="2023"/>
    <x v="3"/>
    <x v="1"/>
    <s v="Original"/>
    <s v="Original"/>
    <s v="Imputed (Median)"/>
  </r>
  <r>
    <n v="28"/>
    <d v="2023-08-03T00:00:00"/>
    <s v="Customer_24"/>
    <x v="2"/>
    <x v="3"/>
    <s v="Accessories"/>
    <n v="2"/>
    <n v="10000"/>
    <n v="20000"/>
    <n v="2023"/>
    <x v="4"/>
    <x v="0"/>
    <s v="Original"/>
    <s v="Original"/>
    <s v="Imputed (Median)"/>
  </r>
  <r>
    <n v="29"/>
    <d v="2023-02-10T00:00:00"/>
    <s v="Customer_46"/>
    <x v="1"/>
    <x v="0"/>
    <s v="Electronics"/>
    <n v="3"/>
    <n v="5000"/>
    <n v="15000"/>
    <n v="2023"/>
    <x v="10"/>
    <x v="2"/>
    <s v="Original"/>
    <s v="Imputed (Median)"/>
    <s v="Original"/>
  </r>
  <r>
    <n v="30"/>
    <d v="2023-03-16T00:00:00"/>
    <s v="Customer_36"/>
    <x v="1"/>
    <x v="2"/>
    <s v="Electronics"/>
    <n v="2"/>
    <n v="10000"/>
    <n v="20000"/>
    <n v="2023"/>
    <x v="5"/>
    <x v="2"/>
    <s v="Original"/>
    <s v="Original"/>
    <s v="Imputed (Median)"/>
  </r>
  <r>
    <n v="31"/>
    <d v="2023-03-30T00:00:00"/>
    <s v="Unknown Customer"/>
    <x v="3"/>
    <x v="1"/>
    <s v="Electronics"/>
    <n v="3"/>
    <n v="30000"/>
    <n v="90000"/>
    <n v="2023"/>
    <x v="5"/>
    <x v="2"/>
    <s v="Product unknown"/>
    <s v="Imputed (Median)"/>
    <s v="Original"/>
  </r>
  <r>
    <n v="32"/>
    <d v="2023-12-16T00:00:00"/>
    <s v="Customer_19"/>
    <x v="1"/>
    <x v="4"/>
    <s v="Electronics"/>
    <n v="4"/>
    <n v="10000"/>
    <n v="40000"/>
    <n v="2023"/>
    <x v="2"/>
    <x v="1"/>
    <s v="Original"/>
    <s v="Original"/>
    <s v="Imputed (Median)"/>
  </r>
  <r>
    <n v="33"/>
    <d v="2023-10-20T00:00:00"/>
    <s v="Customer_38"/>
    <x v="1"/>
    <x v="5"/>
    <s v="Electronics"/>
    <n v="3"/>
    <n v="10000"/>
    <n v="30000"/>
    <n v="2023"/>
    <x v="11"/>
    <x v="1"/>
    <s v="Original"/>
    <s v="Imputed (Median)"/>
    <s v="Imputed (Median)"/>
  </r>
  <r>
    <n v="34"/>
    <d v="2023-12-06T00:00:00"/>
    <s v="Customer_27"/>
    <x v="1"/>
    <x v="2"/>
    <s v="Electronics"/>
    <n v="3"/>
    <n v="10000"/>
    <n v="30000"/>
    <n v="2023"/>
    <x v="2"/>
    <x v="1"/>
    <s v="Imputed Category"/>
    <s v="Imputed (Median)"/>
    <s v="Imputed (Median)"/>
  </r>
  <r>
    <n v="35"/>
    <d v="2023-10-26T00:00:00"/>
    <s v="Customer_20"/>
    <x v="0"/>
    <x v="2"/>
    <s v="Electronics"/>
    <n v="1"/>
    <n v="1000"/>
    <n v="1000"/>
    <n v="2023"/>
    <x v="11"/>
    <x v="1"/>
    <s v="Original"/>
    <s v="Original"/>
    <s v="Original"/>
  </r>
  <r>
    <n v="36"/>
    <d v="2023-02-18T00:00:00"/>
    <s v="Unknown Customer"/>
    <x v="3"/>
    <x v="0"/>
    <s v="Accessories"/>
    <n v="3"/>
    <n v="1000"/>
    <n v="3000"/>
    <n v="2023"/>
    <x v="10"/>
    <x v="2"/>
    <s v="Original"/>
    <s v="Original"/>
    <s v="Original"/>
  </r>
  <r>
    <n v="37"/>
    <d v="2023-08-29T00:00:00"/>
    <s v="Customer_4"/>
    <x v="1"/>
    <x v="0"/>
    <s v="Accessories"/>
    <n v="4"/>
    <n v="10000"/>
    <n v="40000"/>
    <n v="2023"/>
    <x v="4"/>
    <x v="0"/>
    <s v="Imputed Category"/>
    <s v="Original"/>
    <s v="Original"/>
  </r>
  <r>
    <n v="38"/>
    <d v="2023-08-05T00:00:00"/>
    <s v="Customer_41"/>
    <x v="3"/>
    <x v="4"/>
    <s v="Electronics"/>
    <n v="2"/>
    <n v="10000"/>
    <n v="20000"/>
    <n v="2023"/>
    <x v="4"/>
    <x v="0"/>
    <s v="Original"/>
    <s v="Original"/>
    <s v="Imputed (Median)"/>
  </r>
  <r>
    <n v="39"/>
    <d v="2023-04-17T00:00:00"/>
    <s v="Customer_12"/>
    <x v="3"/>
    <x v="1"/>
    <s v="Electronics"/>
    <n v="3"/>
    <n v="30000"/>
    <n v="90000"/>
    <n v="2023"/>
    <x v="8"/>
    <x v="3"/>
    <s v="Product unknown"/>
    <s v="Imputed (Median)"/>
    <s v="Original"/>
  </r>
  <r>
    <n v="40"/>
    <d v="2023-01-22T00:00:00"/>
    <s v="Customer_4"/>
    <x v="0"/>
    <x v="3"/>
    <s v="Electronics"/>
    <n v="3"/>
    <n v="10000"/>
    <n v="30000"/>
    <n v="2023"/>
    <x v="9"/>
    <x v="2"/>
    <s v="Original"/>
    <s v="Imputed (Median)"/>
    <s v="Imputed (Median)"/>
  </r>
  <r>
    <n v="41"/>
    <d v="2023-03-19T00:00:00"/>
    <s v="Customer_31"/>
    <x v="2"/>
    <x v="5"/>
    <s v="Electronics"/>
    <n v="3"/>
    <n v="10000"/>
    <n v="30000"/>
    <n v="2023"/>
    <x v="5"/>
    <x v="2"/>
    <s v="Imputed Category"/>
    <s v="Imputed (Median)"/>
    <s v="Original"/>
  </r>
  <r>
    <n v="42"/>
    <d v="2023-12-06T00:00:00"/>
    <s v="Customer_38"/>
    <x v="1"/>
    <x v="1"/>
    <s v="Electronics"/>
    <n v="2"/>
    <n v="10000"/>
    <n v="20000"/>
    <n v="2023"/>
    <x v="2"/>
    <x v="1"/>
    <s v="Product unknown"/>
    <s v="Original"/>
    <s v="Imputed (Median)"/>
  </r>
  <r>
    <n v="43"/>
    <d v="2023-01-10T00:00:00"/>
    <s v="Customer_34"/>
    <x v="1"/>
    <x v="4"/>
    <s v="Electronics"/>
    <n v="2"/>
    <n v="5000"/>
    <n v="10000"/>
    <n v="2023"/>
    <x v="9"/>
    <x v="2"/>
    <s v="Original"/>
    <s v="Original"/>
    <s v="Original"/>
  </r>
  <r>
    <n v="44"/>
    <d v="2023-06-09T00:00:00"/>
    <s v="Customer_5"/>
    <x v="0"/>
    <x v="2"/>
    <s v="Electronics"/>
    <n v="3"/>
    <n v="5000"/>
    <n v="15000"/>
    <n v="2023"/>
    <x v="6"/>
    <x v="3"/>
    <s v="Original"/>
    <s v="Original"/>
    <s v="Original"/>
  </r>
  <r>
    <n v="45"/>
    <d v="2023-10-04T00:00:00"/>
    <s v="Customer_32"/>
    <x v="1"/>
    <x v="0"/>
    <s v="Electronics"/>
    <n v="3"/>
    <n v="5000"/>
    <n v="15000"/>
    <n v="2023"/>
    <x v="11"/>
    <x v="1"/>
    <s v="Original"/>
    <s v="Imputed (Median)"/>
    <s v="Original"/>
  </r>
  <r>
    <n v="46"/>
    <d v="2023-02-10T00:00:00"/>
    <s v="Customer_42"/>
    <x v="3"/>
    <x v="5"/>
    <s v="Electronics"/>
    <n v="5"/>
    <n v="20000"/>
    <n v="100000"/>
    <n v="2023"/>
    <x v="10"/>
    <x v="2"/>
    <s v="Imputed Category"/>
    <s v="Original"/>
    <s v="Original"/>
  </r>
  <r>
    <n v="47"/>
    <d v="2023-06-06T00:00:00"/>
    <s v="Customer_37"/>
    <x v="2"/>
    <x v="4"/>
    <s v="Accessories"/>
    <n v="3"/>
    <n v="10000"/>
    <n v="30000"/>
    <n v="2023"/>
    <x v="6"/>
    <x v="3"/>
    <s v="Original"/>
    <s v="Original"/>
    <s v="Imputed (Median)"/>
  </r>
  <r>
    <n v="48"/>
    <d v="2023-01-17T00:00:00"/>
    <s v="Customer_25"/>
    <x v="1"/>
    <x v="5"/>
    <s v="Accessories"/>
    <n v="5"/>
    <n v="10000"/>
    <n v="50000"/>
    <n v="2023"/>
    <x v="9"/>
    <x v="2"/>
    <s v="Original"/>
    <s v="Original"/>
    <s v="Imputed (Median)"/>
  </r>
  <r>
    <n v="49"/>
    <d v="2023-04-10T00:00:00"/>
    <s v="Customer_15"/>
    <x v="3"/>
    <x v="4"/>
    <s v="Accessories"/>
    <n v="3"/>
    <n v="10000"/>
    <n v="30000"/>
    <n v="2023"/>
    <x v="8"/>
    <x v="3"/>
    <s v="Original"/>
    <s v="Imputed (Median)"/>
    <s v="Imputed (Median)"/>
  </r>
  <r>
    <n v="50"/>
    <d v="2023-04-20T00:00:00"/>
    <s v="Customer_48"/>
    <x v="0"/>
    <x v="2"/>
    <s v="Electronics"/>
    <n v="1"/>
    <n v="10000"/>
    <n v="10000"/>
    <n v="2023"/>
    <x v="8"/>
    <x v="3"/>
    <s v="Original"/>
    <s v="Original"/>
    <s v="Imputed (Median)"/>
  </r>
  <r>
    <n v="51"/>
    <d v="2023-06-25T00:00:00"/>
    <s v="Customer_28"/>
    <x v="1"/>
    <x v="1"/>
    <s v="Unknown Category"/>
    <n v="3"/>
    <n v="1000"/>
    <n v="3000"/>
    <n v="2023"/>
    <x v="6"/>
    <x v="3"/>
    <s v="Product unknown; Category unknown"/>
    <s v="Original"/>
    <s v="Original"/>
  </r>
  <r>
    <n v="52"/>
    <d v="2023-03-22T00:00:00"/>
    <s v="Customer_42"/>
    <x v="1"/>
    <x v="2"/>
    <s v="Electronics"/>
    <n v="5"/>
    <n v="1000"/>
    <n v="5000"/>
    <n v="2023"/>
    <x v="5"/>
    <x v="2"/>
    <s v="Original"/>
    <s v="Original"/>
    <s v="Original"/>
  </r>
  <r>
    <n v="53"/>
    <d v="2023-12-28T00:00:00"/>
    <s v="Unknown Customer"/>
    <x v="2"/>
    <x v="1"/>
    <s v="Unknown Category"/>
    <n v="1"/>
    <n v="10000"/>
    <n v="10000"/>
    <n v="2023"/>
    <x v="2"/>
    <x v="1"/>
    <s v="Product unknown; Category unknown"/>
    <s v="Original"/>
    <s v="Original"/>
  </r>
  <r>
    <n v="54"/>
    <d v="2023-03-16T00:00:00"/>
    <s v="Customer_39"/>
    <x v="2"/>
    <x v="1"/>
    <s v="Accessories"/>
    <n v="1"/>
    <n v="10000"/>
    <n v="10000"/>
    <n v="2023"/>
    <x v="5"/>
    <x v="2"/>
    <s v="Product unknown"/>
    <s v="Original"/>
    <s v="Imputed (Median)"/>
  </r>
  <r>
    <n v="55"/>
    <d v="2023-05-31T00:00:00"/>
    <s v="Customer_19"/>
    <x v="0"/>
    <x v="2"/>
    <s v="Electronics"/>
    <n v="2"/>
    <n v="30000"/>
    <n v="60000"/>
    <n v="2023"/>
    <x v="7"/>
    <x v="3"/>
    <s v="Original"/>
    <s v="Original"/>
    <s v="Original"/>
  </r>
  <r>
    <n v="56"/>
    <d v="2023-04-09T00:00:00"/>
    <s v="Customer_38"/>
    <x v="0"/>
    <x v="5"/>
    <s v="Accessories"/>
    <n v="3"/>
    <n v="1000"/>
    <n v="3000"/>
    <n v="2023"/>
    <x v="8"/>
    <x v="3"/>
    <s v="Original"/>
    <s v="Imputed (Median)"/>
    <s v="Original"/>
  </r>
  <r>
    <n v="57"/>
    <d v="2023-11-09T00:00:00"/>
    <s v="Customer_11"/>
    <x v="1"/>
    <x v="2"/>
    <s v="Accessories"/>
    <n v="2"/>
    <n v="30000"/>
    <n v="60000"/>
    <n v="2023"/>
    <x v="3"/>
    <x v="1"/>
    <s v="Original"/>
    <s v="Original"/>
    <s v="Original"/>
  </r>
  <r>
    <n v="58"/>
    <d v="2023-09-25T00:00:00"/>
    <s v="Customer_40"/>
    <x v="1"/>
    <x v="1"/>
    <s v="Accessories"/>
    <n v="1"/>
    <n v="5000"/>
    <n v="5000"/>
    <n v="2023"/>
    <x v="0"/>
    <x v="0"/>
    <s v="Product unknown"/>
    <s v="Original"/>
    <s v="Original"/>
  </r>
  <r>
    <n v="59"/>
    <d v="2023-02-10T00:00:00"/>
    <s v="Customer_9"/>
    <x v="0"/>
    <x v="4"/>
    <s v="Electronics"/>
    <n v="5"/>
    <n v="10000"/>
    <n v="50000"/>
    <n v="2023"/>
    <x v="10"/>
    <x v="2"/>
    <s v="Imputed Category"/>
    <s v="Original"/>
    <s v="Imputed (Median)"/>
  </r>
  <r>
    <n v="60"/>
    <d v="2023-05-02T00:00:00"/>
    <s v="Customer_45"/>
    <x v="0"/>
    <x v="2"/>
    <s v="Electronics"/>
    <n v="4"/>
    <n v="5000"/>
    <n v="20000"/>
    <n v="2023"/>
    <x v="7"/>
    <x v="3"/>
    <s v="Original"/>
    <s v="Original"/>
    <s v="Original"/>
  </r>
  <r>
    <n v="61"/>
    <d v="2023-03-10T00:00:00"/>
    <s v="Customer_21"/>
    <x v="0"/>
    <x v="0"/>
    <s v="Accessories"/>
    <n v="2"/>
    <n v="30000"/>
    <n v="60000"/>
    <n v="2023"/>
    <x v="5"/>
    <x v="2"/>
    <s v="Original"/>
    <s v="Original"/>
    <s v="Original"/>
  </r>
  <r>
    <n v="62"/>
    <d v="2023-12-19T00:00:00"/>
    <s v="Customer_40"/>
    <x v="0"/>
    <x v="3"/>
    <s v="Electronics"/>
    <n v="4"/>
    <n v="10000"/>
    <n v="40000"/>
    <n v="2023"/>
    <x v="2"/>
    <x v="1"/>
    <s v="Imputed Category"/>
    <s v="Original"/>
    <s v="Original"/>
  </r>
  <r>
    <n v="63"/>
    <d v="2023-04-09T00:00:00"/>
    <s v="Customer_37"/>
    <x v="1"/>
    <x v="0"/>
    <s v="Electronics"/>
    <n v="4"/>
    <n v="10000"/>
    <n v="40000"/>
    <n v="2023"/>
    <x v="8"/>
    <x v="3"/>
    <s v="Original"/>
    <s v="Original"/>
    <s v="Original"/>
  </r>
  <r>
    <n v="64"/>
    <d v="2023-06-19T00:00:00"/>
    <s v="Customer_32"/>
    <x v="0"/>
    <x v="5"/>
    <s v="Electronics"/>
    <n v="3"/>
    <n v="20000"/>
    <n v="60000"/>
    <n v="2023"/>
    <x v="6"/>
    <x v="3"/>
    <s v="Date imputed (median); Category Imputed"/>
    <s v="Imputed (Median)"/>
    <s v="Original"/>
  </r>
  <r>
    <n v="65"/>
    <d v="2023-04-28T00:00:00"/>
    <s v="Customer_14"/>
    <x v="0"/>
    <x v="4"/>
    <s v="Accessories"/>
    <n v="5"/>
    <n v="10000"/>
    <n v="50000"/>
    <n v="2023"/>
    <x v="8"/>
    <x v="3"/>
    <s v="Original"/>
    <s v="Original"/>
    <s v="Imputed (Median)"/>
  </r>
  <r>
    <n v="66"/>
    <d v="2023-11-20T00:00:00"/>
    <s v="Customer_42"/>
    <x v="1"/>
    <x v="2"/>
    <s v="Electronics"/>
    <n v="3"/>
    <n v="30000"/>
    <n v="90000"/>
    <n v="2023"/>
    <x v="3"/>
    <x v="1"/>
    <s v="Original"/>
    <s v="Original"/>
    <s v="Original"/>
  </r>
  <r>
    <n v="67"/>
    <d v="2023-12-19T00:00:00"/>
    <s v="Customer_13"/>
    <x v="3"/>
    <x v="2"/>
    <s v="Electronics"/>
    <n v="3"/>
    <n v="10000"/>
    <n v="30000"/>
    <n v="2023"/>
    <x v="2"/>
    <x v="1"/>
    <s v="Imputed Category"/>
    <s v="Imputed (Median)"/>
    <s v="Original"/>
  </r>
  <r>
    <n v="68"/>
    <d v="2023-09-03T00:00:00"/>
    <s v="Customer_45"/>
    <x v="1"/>
    <x v="5"/>
    <s v="Electronics"/>
    <n v="3"/>
    <n v="20000"/>
    <n v="60000"/>
    <n v="2023"/>
    <x v="0"/>
    <x v="0"/>
    <s v="Original"/>
    <s v="Imputed (Median)"/>
    <s v="Original"/>
  </r>
  <r>
    <n v="69"/>
    <d v="2023-08-16T00:00:00"/>
    <s v="Customer_48"/>
    <x v="0"/>
    <x v="3"/>
    <s v="Electronics"/>
    <n v="2"/>
    <n v="20000"/>
    <n v="40000"/>
    <n v="2023"/>
    <x v="4"/>
    <x v="0"/>
    <s v="Original"/>
    <s v="Original"/>
    <s v="Original"/>
  </r>
  <r>
    <n v="70"/>
    <d v="2023-09-24T00:00:00"/>
    <s v="Customer_28"/>
    <x v="0"/>
    <x v="2"/>
    <s v="Electronics"/>
    <n v="4"/>
    <n v="10000"/>
    <n v="40000"/>
    <n v="2023"/>
    <x v="0"/>
    <x v="0"/>
    <s v="Imputed Category"/>
    <s v="Original"/>
    <s v="Original"/>
  </r>
  <r>
    <n v="71"/>
    <d v="2023-01-07T00:00:00"/>
    <s v="Customer_15"/>
    <x v="3"/>
    <x v="2"/>
    <s v="Accessories"/>
    <n v="4"/>
    <n v="20000"/>
    <n v="80000"/>
    <n v="2023"/>
    <x v="9"/>
    <x v="2"/>
    <s v="Original"/>
    <s v="Original"/>
    <s v="Original"/>
  </r>
  <r>
    <n v="72"/>
    <d v="2023-02-28T00:00:00"/>
    <s v="Customer_26"/>
    <x v="0"/>
    <x v="3"/>
    <s v="Electronics"/>
    <n v="3"/>
    <n v="30000"/>
    <n v="90000"/>
    <n v="2023"/>
    <x v="10"/>
    <x v="2"/>
    <s v="Original"/>
    <s v="Imputed (Median)"/>
    <s v="Original"/>
  </r>
  <r>
    <n v="73"/>
    <d v="2023-12-02T00:00:00"/>
    <s v="Customer_27"/>
    <x v="2"/>
    <x v="4"/>
    <s v="Accessories"/>
    <n v="3"/>
    <n v="5000"/>
    <n v="15000"/>
    <n v="2023"/>
    <x v="2"/>
    <x v="1"/>
    <s v="Original"/>
    <s v="Original"/>
    <s v="Original"/>
  </r>
  <r>
    <n v="74"/>
    <d v="2023-02-07T00:00:00"/>
    <s v="Customer_2"/>
    <x v="1"/>
    <x v="1"/>
    <s v="Accessories"/>
    <n v="2"/>
    <n v="10000"/>
    <n v="20000"/>
    <n v="2023"/>
    <x v="10"/>
    <x v="2"/>
    <s v="Product unknown"/>
    <s v="Original"/>
    <s v="Original"/>
  </r>
  <r>
    <n v="75"/>
    <d v="2023-04-20T00:00:00"/>
    <s v="Customer_20"/>
    <x v="3"/>
    <x v="2"/>
    <s v="Electronics"/>
    <n v="2"/>
    <n v="30000"/>
    <n v="60000"/>
    <n v="2023"/>
    <x v="8"/>
    <x v="3"/>
    <s v="Original"/>
    <s v="Original"/>
    <s v="Original"/>
  </r>
  <r>
    <n v="76"/>
    <d v="2023-12-26T00:00:00"/>
    <s v="Unknown Customer"/>
    <x v="1"/>
    <x v="4"/>
    <s v="Accessories"/>
    <n v="5"/>
    <n v="20000"/>
    <n v="100000"/>
    <n v="2023"/>
    <x v="2"/>
    <x v="1"/>
    <s v="Original"/>
    <s v="Original"/>
    <s v="Original"/>
  </r>
  <r>
    <n v="77"/>
    <d v="2023-11-04T00:00:00"/>
    <s v="Customer_47"/>
    <x v="0"/>
    <x v="2"/>
    <s v="Accessories"/>
    <n v="5"/>
    <n v="30000"/>
    <n v="150000"/>
    <n v="2023"/>
    <x v="3"/>
    <x v="1"/>
    <s v="Original"/>
    <s v="Original"/>
    <s v="Original"/>
  </r>
  <r>
    <n v="78"/>
    <d v="2023-12-02T00:00:00"/>
    <s v="Customer_43"/>
    <x v="0"/>
    <x v="0"/>
    <s v="Electronics"/>
    <n v="2"/>
    <n v="10000"/>
    <n v="20000"/>
    <n v="2023"/>
    <x v="2"/>
    <x v="1"/>
    <s v="Original"/>
    <s v="Original"/>
    <s v="Original"/>
  </r>
  <r>
    <n v="79"/>
    <d v="2023-11-01T00:00:00"/>
    <s v="Customer_5"/>
    <x v="3"/>
    <x v="4"/>
    <s v="Electronics"/>
    <n v="3"/>
    <n v="5000"/>
    <n v="15000"/>
    <n v="2023"/>
    <x v="3"/>
    <x v="1"/>
    <s v="Imputed Category"/>
    <s v="Imputed (Median)"/>
    <s v="Original"/>
  </r>
  <r>
    <n v="80"/>
    <d v="2023-12-10T00:00:00"/>
    <s v="Customer_44"/>
    <x v="3"/>
    <x v="2"/>
    <s v="Electronics"/>
    <n v="3"/>
    <n v="10000"/>
    <n v="30000"/>
    <n v="2023"/>
    <x v="2"/>
    <x v="1"/>
    <s v="Original"/>
    <s v="Imputed (Median)"/>
    <s v="Original"/>
  </r>
  <r>
    <n v="81"/>
    <d v="2023-02-22T00:00:00"/>
    <s v="Customer_23"/>
    <x v="0"/>
    <x v="1"/>
    <s v="Unknown Category"/>
    <n v="5"/>
    <n v="10000"/>
    <n v="50000"/>
    <n v="2023"/>
    <x v="10"/>
    <x v="2"/>
    <s v="Product unknown; Category unknown"/>
    <s v="Original"/>
    <s v="Original"/>
  </r>
  <r>
    <n v="82"/>
    <d v="2023-01-10T00:00:00"/>
    <s v="Customer_33"/>
    <x v="2"/>
    <x v="3"/>
    <s v="Electronics"/>
    <n v="2"/>
    <n v="5000"/>
    <n v="10000"/>
    <n v="2023"/>
    <x v="9"/>
    <x v="2"/>
    <s v="Original"/>
    <s v="Original"/>
    <s v="Original"/>
  </r>
  <r>
    <n v="83"/>
    <d v="2023-03-22T00:00:00"/>
    <s v="Customer_22"/>
    <x v="0"/>
    <x v="4"/>
    <s v="Electronics"/>
    <n v="3"/>
    <n v="10000"/>
    <n v="30000"/>
    <n v="2023"/>
    <x v="5"/>
    <x v="2"/>
    <s v="Original"/>
    <s v="Imputed (Median)"/>
    <s v="Imputed (Median)"/>
  </r>
  <r>
    <n v="84"/>
    <d v="2023-07-02T00:00:00"/>
    <s v="Unknown Customer"/>
    <x v="0"/>
    <x v="1"/>
    <s v="Accessories"/>
    <n v="2"/>
    <n v="10000"/>
    <n v="20000"/>
    <n v="2023"/>
    <x v="1"/>
    <x v="0"/>
    <s v="Product unknown"/>
    <s v="Original"/>
    <s v="Imputed (Median)"/>
  </r>
  <r>
    <n v="85"/>
    <d v="2023-07-15T00:00:00"/>
    <s v="Customer_12"/>
    <x v="1"/>
    <x v="5"/>
    <s v="Accessories"/>
    <n v="3"/>
    <n v="30000"/>
    <n v="90000"/>
    <n v="2023"/>
    <x v="1"/>
    <x v="0"/>
    <s v="Original"/>
    <s v="Imputed (Median)"/>
    <s v="Original"/>
  </r>
  <r>
    <n v="86"/>
    <d v="2023-07-28T00:00:00"/>
    <s v="Customer_8"/>
    <x v="1"/>
    <x v="0"/>
    <s v="Electronics"/>
    <n v="3"/>
    <n v="1000"/>
    <n v="3000"/>
    <n v="2023"/>
    <x v="1"/>
    <x v="0"/>
    <s v="Original"/>
    <s v="Imputed (Median)"/>
    <s v="Original"/>
  </r>
  <r>
    <n v="87"/>
    <d v="2023-06-19T00:00:00"/>
    <s v="Customer_6"/>
    <x v="2"/>
    <x v="5"/>
    <s v="Accessories"/>
    <n v="5"/>
    <n v="10000"/>
    <n v="50000"/>
    <n v="2023"/>
    <x v="6"/>
    <x v="3"/>
    <s v="Original"/>
    <s v="Original"/>
    <s v="Original"/>
  </r>
  <r>
    <n v="88"/>
    <d v="2023-10-29T00:00:00"/>
    <s v="Unknown Customer"/>
    <x v="0"/>
    <x v="2"/>
    <s v="Electronics"/>
    <n v="3"/>
    <n v="5000"/>
    <n v="15000"/>
    <n v="2023"/>
    <x v="11"/>
    <x v="1"/>
    <s v="Imputed Category"/>
    <s v="Original"/>
    <s v="Original"/>
  </r>
  <r>
    <n v="89"/>
    <d v="2023-08-27T00:00:00"/>
    <s v="Customer_32"/>
    <x v="0"/>
    <x v="4"/>
    <s v="Electronics"/>
    <n v="5"/>
    <n v="10000"/>
    <n v="50000"/>
    <n v="2023"/>
    <x v="4"/>
    <x v="0"/>
    <s v="Imputed Category"/>
    <s v="Original"/>
    <s v="Imputed (Median)"/>
  </r>
  <r>
    <n v="90"/>
    <d v="2023-08-13T00:00:00"/>
    <s v="Customer_21"/>
    <x v="0"/>
    <x v="2"/>
    <s v="Electronics"/>
    <n v="3"/>
    <n v="10000"/>
    <n v="30000"/>
    <n v="2023"/>
    <x v="4"/>
    <x v="0"/>
    <s v="Imputed Category"/>
    <s v="Original"/>
    <s v="Original"/>
  </r>
  <r>
    <n v="91"/>
    <d v="2023-11-13T00:00:00"/>
    <s v="Customer_6"/>
    <x v="3"/>
    <x v="0"/>
    <s v="Electronics"/>
    <n v="1"/>
    <n v="10000"/>
    <n v="10000"/>
    <n v="2023"/>
    <x v="3"/>
    <x v="1"/>
    <s v="Original"/>
    <s v="Original"/>
    <s v="Original"/>
  </r>
  <r>
    <n v="92"/>
    <d v="2023-04-11T00:00:00"/>
    <s v="Customer_31"/>
    <x v="1"/>
    <x v="5"/>
    <s v="Electronics"/>
    <n v="2"/>
    <n v="30000"/>
    <n v="60000"/>
    <n v="2023"/>
    <x v="8"/>
    <x v="3"/>
    <s v="Original"/>
    <s v="Original"/>
    <s v="Original"/>
  </r>
  <r>
    <n v="93"/>
    <d v="2023-03-31T00:00:00"/>
    <s v="Customer_3"/>
    <x v="2"/>
    <x v="4"/>
    <s v="Accessories"/>
    <n v="3"/>
    <n v="10000"/>
    <n v="30000"/>
    <n v="2023"/>
    <x v="5"/>
    <x v="2"/>
    <s v="Original"/>
    <s v="Imputed (Median)"/>
    <s v="Imputed (Median)"/>
  </r>
  <r>
    <n v="94"/>
    <d v="2023-07-09T00:00:00"/>
    <s v="Customer_33"/>
    <x v="3"/>
    <x v="3"/>
    <s v="Electronics"/>
    <n v="3"/>
    <n v="30000"/>
    <n v="90000"/>
    <n v="2023"/>
    <x v="1"/>
    <x v="0"/>
    <s v="Imputed Category"/>
    <s v="Imputed (Median)"/>
    <s v="Original"/>
  </r>
  <r>
    <n v="95"/>
    <d v="2023-02-11T00:00:00"/>
    <s v="Customer_17"/>
    <x v="1"/>
    <x v="5"/>
    <s v="Electronics"/>
    <n v="5"/>
    <n v="30000"/>
    <n v="150000"/>
    <n v="2023"/>
    <x v="10"/>
    <x v="2"/>
    <s v="Imputed Category"/>
    <s v="Original"/>
    <s v="Original"/>
  </r>
  <r>
    <n v="96"/>
    <d v="2023-12-21T00:00:00"/>
    <s v="Customer_26"/>
    <x v="1"/>
    <x v="4"/>
    <s v="Electronics"/>
    <n v="3"/>
    <n v="30000"/>
    <n v="90000"/>
    <n v="2023"/>
    <x v="2"/>
    <x v="1"/>
    <s v="Original"/>
    <s v="Original"/>
    <s v="Original"/>
  </r>
  <r>
    <n v="97"/>
    <d v="2023-02-26T00:00:00"/>
    <s v="Customer_46"/>
    <x v="2"/>
    <x v="2"/>
    <s v="Electronics"/>
    <n v="5"/>
    <n v="5000"/>
    <n v="25000"/>
    <n v="2023"/>
    <x v="10"/>
    <x v="2"/>
    <s v="Original"/>
    <s v="Original"/>
    <s v="Original"/>
  </r>
  <r>
    <n v="98"/>
    <d v="2023-08-06T00:00:00"/>
    <s v="Unknown Customer"/>
    <x v="3"/>
    <x v="5"/>
    <s v="Accessories"/>
    <n v="3"/>
    <n v="1000"/>
    <n v="3000"/>
    <n v="2023"/>
    <x v="4"/>
    <x v="0"/>
    <s v="Original"/>
    <s v="Imputed (Median)"/>
    <s v="Original"/>
  </r>
  <r>
    <n v="99"/>
    <d v="2023-10-05T00:00:00"/>
    <s v="Customer_3"/>
    <x v="2"/>
    <x v="0"/>
    <s v="Accessories"/>
    <n v="2"/>
    <n v="20000"/>
    <n v="40000"/>
    <n v="2023"/>
    <x v="11"/>
    <x v="1"/>
    <s v="Original"/>
    <s v="Original"/>
    <s v="Original"/>
  </r>
  <r>
    <n v="100"/>
    <d v="2023-02-11T00:00:00"/>
    <s v="Customer_44"/>
    <x v="3"/>
    <x v="2"/>
    <s v="Accessories"/>
    <n v="3"/>
    <n v="5000"/>
    <n v="15000"/>
    <n v="2023"/>
    <x v="10"/>
    <x v="2"/>
    <s v="Original"/>
    <s v="Imputed (Median)"/>
    <s v="Original"/>
  </r>
  <r>
    <n v="101"/>
    <d v="2023-06-17T00:00:00"/>
    <s v="Customer_30"/>
    <x v="0"/>
    <x v="4"/>
    <s v="Electronics"/>
    <n v="1"/>
    <n v="5000"/>
    <n v="5000"/>
    <n v="2023"/>
    <x v="6"/>
    <x v="3"/>
    <s v="Original"/>
    <s v="Original"/>
    <s v="Original"/>
  </r>
  <r>
    <n v="102"/>
    <d v="2023-05-27T00:00:00"/>
    <s v="Customer_23"/>
    <x v="3"/>
    <x v="4"/>
    <s v="Electronics"/>
    <n v="3"/>
    <n v="5000"/>
    <n v="15000"/>
    <n v="2023"/>
    <x v="7"/>
    <x v="3"/>
    <s v="Imputed Category"/>
    <s v="Imputed (Median)"/>
    <s v="Original"/>
  </r>
  <r>
    <n v="103"/>
    <d v="2023-05-26T00:00:00"/>
    <s v="Customer_13"/>
    <x v="1"/>
    <x v="2"/>
    <s v="Electronics"/>
    <n v="5"/>
    <n v="10000"/>
    <n v="50000"/>
    <n v="2023"/>
    <x v="7"/>
    <x v="3"/>
    <s v="Imputed Category"/>
    <s v="Original"/>
    <s v="Imputed (Median)"/>
  </r>
  <r>
    <n v="104"/>
    <d v="2023-10-03T00:00:00"/>
    <s v="Customer_31"/>
    <x v="3"/>
    <x v="5"/>
    <s v="Electronics"/>
    <n v="1"/>
    <n v="5000"/>
    <n v="5000"/>
    <n v="2023"/>
    <x v="11"/>
    <x v="1"/>
    <s v="Original"/>
    <s v="Original"/>
    <s v="Original"/>
  </r>
  <r>
    <n v="105"/>
    <d v="2023-07-04T00:00:00"/>
    <s v="Customer_28"/>
    <x v="1"/>
    <x v="2"/>
    <s v="Electronics"/>
    <n v="5"/>
    <n v="5000"/>
    <n v="25000"/>
    <n v="2023"/>
    <x v="1"/>
    <x v="0"/>
    <s v="Imputed Category"/>
    <s v="Original"/>
    <s v="Original"/>
  </r>
  <r>
    <n v="106"/>
    <d v="2023-02-05T00:00:00"/>
    <s v="Customer_25"/>
    <x v="3"/>
    <x v="0"/>
    <s v="Accessories"/>
    <n v="3"/>
    <n v="5000"/>
    <n v="15000"/>
    <n v="2023"/>
    <x v="10"/>
    <x v="2"/>
    <s v="Original"/>
    <s v="Imputed (Median)"/>
    <s v="Original"/>
  </r>
  <r>
    <n v="107"/>
    <d v="2023-08-03T00:00:00"/>
    <s v="Customer_24"/>
    <x v="2"/>
    <x v="5"/>
    <s v="Electronics"/>
    <n v="2"/>
    <n v="10000"/>
    <n v="20000"/>
    <n v="2023"/>
    <x v="4"/>
    <x v="0"/>
    <s v="Original"/>
    <s v="Original"/>
    <s v="Imputed (Median)"/>
  </r>
  <r>
    <n v="108"/>
    <d v="2023-05-17T00:00:00"/>
    <s v="Customer_23"/>
    <x v="0"/>
    <x v="5"/>
    <s v="Accessories"/>
    <n v="3"/>
    <n v="10000"/>
    <n v="30000"/>
    <n v="2023"/>
    <x v="7"/>
    <x v="3"/>
    <s v="Original"/>
    <s v="Imputed (Median)"/>
    <s v="Imputed (Median)"/>
  </r>
  <r>
    <n v="109"/>
    <d v="2023-03-10T00:00:00"/>
    <s v="Customer_16"/>
    <x v="0"/>
    <x v="4"/>
    <s v="Electronics"/>
    <n v="3"/>
    <n v="10000"/>
    <n v="30000"/>
    <n v="2023"/>
    <x v="5"/>
    <x v="2"/>
    <s v="Original"/>
    <s v="Original"/>
    <s v="Original"/>
  </r>
  <r>
    <n v="110"/>
    <d v="2023-06-14T00:00:00"/>
    <s v="Customer_12"/>
    <x v="1"/>
    <x v="4"/>
    <s v="Electronics"/>
    <n v="3"/>
    <n v="30000"/>
    <n v="90000"/>
    <n v="2023"/>
    <x v="6"/>
    <x v="3"/>
    <s v="Imputed Category"/>
    <s v="Imputed (Median)"/>
    <s v="Original"/>
  </r>
  <r>
    <n v="111"/>
    <d v="2023-02-18T00:00:00"/>
    <s v="Customer_29"/>
    <x v="1"/>
    <x v="3"/>
    <s v="Electronics"/>
    <n v="3"/>
    <n v="10000"/>
    <n v="30000"/>
    <n v="2023"/>
    <x v="10"/>
    <x v="2"/>
    <s v="Original"/>
    <s v="Original"/>
    <s v="Original"/>
  </r>
  <r>
    <n v="112"/>
    <d v="2023-03-14T00:00:00"/>
    <s v="Unknown Customer"/>
    <x v="0"/>
    <x v="2"/>
    <s v="Electronics"/>
    <n v="4"/>
    <n v="10000"/>
    <n v="40000"/>
    <n v="2023"/>
    <x v="5"/>
    <x v="2"/>
    <s v="Original"/>
    <s v="Original"/>
    <s v="Imputed (Median)"/>
  </r>
  <r>
    <n v="113"/>
    <d v="2023-06-19T00:00:00"/>
    <s v="Customer_31"/>
    <x v="0"/>
    <x v="4"/>
    <s v="Electronics"/>
    <n v="5"/>
    <n v="30000"/>
    <n v="150000"/>
    <n v="2023"/>
    <x v="6"/>
    <x v="3"/>
    <s v="Date imputed (median); Category Imputed"/>
    <s v="Original"/>
    <s v="Original"/>
  </r>
  <r>
    <n v="114"/>
    <d v="2023-02-24T00:00:00"/>
    <s v="Customer_14"/>
    <x v="0"/>
    <x v="4"/>
    <s v="Accessories"/>
    <n v="4"/>
    <n v="5000"/>
    <n v="20000"/>
    <n v="2023"/>
    <x v="10"/>
    <x v="2"/>
    <s v="Original"/>
    <s v="Original"/>
    <s v="Original"/>
  </r>
  <r>
    <n v="115"/>
    <d v="2023-06-14T00:00:00"/>
    <s v="Customer_2"/>
    <x v="0"/>
    <x v="1"/>
    <s v="Unknown Category"/>
    <n v="5"/>
    <n v="10000"/>
    <n v="50000"/>
    <n v="2023"/>
    <x v="6"/>
    <x v="3"/>
    <s v="Product unknown; Category unknown"/>
    <s v="Original"/>
    <s v="Imputed (Median)"/>
  </r>
  <r>
    <n v="116"/>
    <d v="2023-01-20T00:00:00"/>
    <s v="Customer_45"/>
    <x v="1"/>
    <x v="2"/>
    <s v="Electronics"/>
    <n v="3"/>
    <n v="20000"/>
    <n v="60000"/>
    <n v="2023"/>
    <x v="9"/>
    <x v="2"/>
    <s v="Imputed Category"/>
    <s v="Imputed (Median)"/>
    <s v="Original"/>
  </r>
  <r>
    <n v="117"/>
    <d v="2023-12-02T00:00:00"/>
    <s v="Unknown Customer"/>
    <x v="1"/>
    <x v="5"/>
    <s v="Electronics"/>
    <n v="2"/>
    <n v="5000"/>
    <n v="10000"/>
    <n v="2023"/>
    <x v="2"/>
    <x v="1"/>
    <s v="Original"/>
    <s v="Original"/>
    <s v="Original"/>
  </r>
  <r>
    <n v="118"/>
    <d v="2023-11-18T00:00:00"/>
    <s v="Customer_10"/>
    <x v="1"/>
    <x v="5"/>
    <s v="Electronics"/>
    <n v="5"/>
    <n v="20000"/>
    <n v="100000"/>
    <n v="2023"/>
    <x v="3"/>
    <x v="1"/>
    <s v="Original"/>
    <s v="Original"/>
    <s v="Original"/>
  </r>
  <r>
    <n v="119"/>
    <d v="2023-02-24T00:00:00"/>
    <s v="Customer_11"/>
    <x v="0"/>
    <x v="2"/>
    <s v="Electronics"/>
    <n v="3"/>
    <n v="30000"/>
    <n v="90000"/>
    <n v="2023"/>
    <x v="10"/>
    <x v="2"/>
    <s v="Original"/>
    <s v="Original"/>
    <s v="Original"/>
  </r>
  <r>
    <n v="120"/>
    <d v="2023-07-17T00:00:00"/>
    <s v="Customer_28"/>
    <x v="1"/>
    <x v="0"/>
    <s v="Electronics"/>
    <n v="2"/>
    <n v="30000"/>
    <n v="60000"/>
    <n v="2023"/>
    <x v="1"/>
    <x v="0"/>
    <s v="Original"/>
    <s v="Original"/>
    <s v="Original"/>
  </r>
  <r>
    <n v="121"/>
    <d v="2023-05-23T00:00:00"/>
    <s v="Customer_22"/>
    <x v="3"/>
    <x v="3"/>
    <s v="Electronics"/>
    <n v="3"/>
    <n v="20000"/>
    <n v="60000"/>
    <n v="2023"/>
    <x v="7"/>
    <x v="3"/>
    <s v="Original"/>
    <s v="Original"/>
    <s v="Original"/>
  </r>
  <r>
    <n v="122"/>
    <d v="2023-05-27T00:00:00"/>
    <s v="Customer_21"/>
    <x v="0"/>
    <x v="1"/>
    <s v="Unknown Category"/>
    <n v="2"/>
    <n v="1000"/>
    <n v="2000"/>
    <n v="2023"/>
    <x v="7"/>
    <x v="3"/>
    <s v="Product unknown; Category unknown"/>
    <s v="Original"/>
    <s v="Original"/>
  </r>
  <r>
    <n v="123"/>
    <d v="2023-06-05T00:00:00"/>
    <s v="Customer_16"/>
    <x v="1"/>
    <x v="2"/>
    <s v="Electronics"/>
    <n v="3"/>
    <n v="20000"/>
    <n v="60000"/>
    <n v="2023"/>
    <x v="6"/>
    <x v="3"/>
    <s v="Original"/>
    <s v="Original"/>
    <s v="Original"/>
  </r>
  <r>
    <n v="124"/>
    <d v="2023-07-10T00:00:00"/>
    <s v="Customer_34"/>
    <x v="1"/>
    <x v="1"/>
    <s v="Electronics"/>
    <n v="3"/>
    <n v="1000"/>
    <n v="3000"/>
    <n v="2023"/>
    <x v="1"/>
    <x v="0"/>
    <s v="Product unknown"/>
    <s v="Imputed (Median)"/>
    <s v="Original"/>
  </r>
  <r>
    <n v="125"/>
    <d v="2023-06-19T00:00:00"/>
    <s v="Customer_35"/>
    <x v="0"/>
    <x v="0"/>
    <s v="Electronics"/>
    <n v="5"/>
    <n v="5000"/>
    <n v="25000"/>
    <n v="2023"/>
    <x v="6"/>
    <x v="3"/>
    <s v="Date imputed (median)"/>
    <s v="Original"/>
    <s v="Original"/>
  </r>
  <r>
    <n v="126"/>
    <d v="2023-06-22T00:00:00"/>
    <s v="Customer_34"/>
    <x v="1"/>
    <x v="0"/>
    <s v="Electronics"/>
    <n v="2"/>
    <n v="10000"/>
    <n v="20000"/>
    <n v="2023"/>
    <x v="6"/>
    <x v="3"/>
    <s v="Original"/>
    <s v="Original"/>
    <s v="Original"/>
  </r>
  <r>
    <n v="127"/>
    <d v="2023-07-26T00:00:00"/>
    <s v="Customer_6"/>
    <x v="2"/>
    <x v="2"/>
    <s v="Electronics"/>
    <n v="2"/>
    <n v="5000"/>
    <n v="10000"/>
    <n v="2023"/>
    <x v="1"/>
    <x v="0"/>
    <s v="Original"/>
    <s v="Original"/>
    <s v="Original"/>
  </r>
  <r>
    <n v="128"/>
    <d v="2023-03-02T00:00:00"/>
    <s v="Customer_40"/>
    <x v="0"/>
    <x v="4"/>
    <s v="Electronics"/>
    <n v="4"/>
    <n v="20000"/>
    <n v="80000"/>
    <n v="2023"/>
    <x v="5"/>
    <x v="2"/>
    <s v="Original"/>
    <s v="Original"/>
    <s v="Original"/>
  </r>
  <r>
    <n v="129"/>
    <d v="2023-01-28T00:00:00"/>
    <s v="Customer_8"/>
    <x v="3"/>
    <x v="2"/>
    <s v="Electronics"/>
    <n v="2"/>
    <n v="10000"/>
    <n v="20000"/>
    <n v="2023"/>
    <x v="9"/>
    <x v="2"/>
    <s v="Original"/>
    <s v="Original"/>
    <s v="Imputed (Median)"/>
  </r>
  <r>
    <n v="130"/>
    <d v="2023-06-19T00:00:00"/>
    <s v="Customer_2"/>
    <x v="0"/>
    <x v="5"/>
    <s v="Electronics"/>
    <n v="2"/>
    <n v="10000"/>
    <n v="20000"/>
    <n v="2023"/>
    <x v="6"/>
    <x v="3"/>
    <s v="Original"/>
    <s v="Original"/>
    <s v="Imputed (Median)"/>
  </r>
  <r>
    <n v="131"/>
    <d v="2023-09-21T00:00:00"/>
    <s v="Customer_9"/>
    <x v="1"/>
    <x v="1"/>
    <s v="Electronics"/>
    <n v="5"/>
    <n v="10000"/>
    <n v="50000"/>
    <n v="2023"/>
    <x v="0"/>
    <x v="0"/>
    <s v="Product unknown"/>
    <s v="Original"/>
    <s v="Imputed (Median)"/>
  </r>
  <r>
    <n v="132"/>
    <d v="2023-06-19T00:00:00"/>
    <s v="Customer_26"/>
    <x v="0"/>
    <x v="1"/>
    <s v="Accessories"/>
    <n v="1"/>
    <n v="30000"/>
    <n v="30000"/>
    <n v="2023"/>
    <x v="6"/>
    <x v="3"/>
    <s v="Date imputed (median); Product unknown"/>
    <s v="Original"/>
    <s v="Original"/>
  </r>
  <r>
    <n v="133"/>
    <d v="2023-07-17T00:00:00"/>
    <s v="Customer_33"/>
    <x v="0"/>
    <x v="1"/>
    <s v="Electronics"/>
    <n v="3"/>
    <n v="10000"/>
    <n v="30000"/>
    <n v="2023"/>
    <x v="1"/>
    <x v="0"/>
    <s v="Product unknown"/>
    <s v="Imputed (Median)"/>
    <s v="Imputed (Median)"/>
  </r>
  <r>
    <n v="134"/>
    <d v="2023-06-19T00:00:00"/>
    <s v="Customer_20"/>
    <x v="0"/>
    <x v="0"/>
    <s v="Accessories"/>
    <n v="3"/>
    <n v="1000"/>
    <n v="3000"/>
    <n v="2023"/>
    <x v="6"/>
    <x v="3"/>
    <s v="Date imputed (median); Category Imputed"/>
    <s v="Imputed (Median)"/>
    <s v="Original"/>
  </r>
  <r>
    <n v="135"/>
    <d v="2023-05-23T00:00:00"/>
    <s v="Customer_36"/>
    <x v="3"/>
    <x v="5"/>
    <s v="Electronics"/>
    <n v="3"/>
    <n v="1000"/>
    <n v="3000"/>
    <n v="2023"/>
    <x v="7"/>
    <x v="3"/>
    <s v="Original"/>
    <s v="Imputed (Median)"/>
    <s v="Original"/>
  </r>
  <r>
    <n v="136"/>
    <d v="2023-06-19T00:00:00"/>
    <s v="Customer_35"/>
    <x v="1"/>
    <x v="4"/>
    <s v="Accessories"/>
    <n v="5"/>
    <n v="30000"/>
    <n v="150000"/>
    <n v="2023"/>
    <x v="6"/>
    <x v="3"/>
    <s v="Date imputed (median)"/>
    <s v="Original"/>
    <s v="Original"/>
  </r>
  <r>
    <n v="137"/>
    <d v="2023-05-05T00:00:00"/>
    <s v="Customer_30"/>
    <x v="0"/>
    <x v="2"/>
    <s v="Electronics"/>
    <n v="3"/>
    <n v="10000"/>
    <n v="30000"/>
    <n v="2023"/>
    <x v="7"/>
    <x v="3"/>
    <s v="Imputed Category"/>
    <s v="Imputed (Median)"/>
    <s v="Imputed (Median)"/>
  </r>
  <r>
    <n v="138"/>
    <d v="2023-06-19T00:00:00"/>
    <s v="Customer_50"/>
    <x v="1"/>
    <x v="0"/>
    <s v="Accessories"/>
    <n v="3"/>
    <n v="1000"/>
    <n v="3000"/>
    <n v="2023"/>
    <x v="6"/>
    <x v="3"/>
    <s v="Date imputed (median); Category Imputed"/>
    <s v="Original"/>
    <s v="Original"/>
  </r>
  <r>
    <n v="139"/>
    <d v="2023-04-02T00:00:00"/>
    <s v="Customer_49"/>
    <x v="1"/>
    <x v="0"/>
    <s v="Accessories"/>
    <n v="4"/>
    <n v="20000"/>
    <n v="80000"/>
    <n v="2023"/>
    <x v="8"/>
    <x v="3"/>
    <s v="Imputed Category"/>
    <s v="Original"/>
    <s v="Original"/>
  </r>
  <r>
    <n v="140"/>
    <d v="2023-05-27T00:00:00"/>
    <s v="Customer_46"/>
    <x v="1"/>
    <x v="0"/>
    <s v="Accessories"/>
    <n v="2"/>
    <n v="5000"/>
    <n v="10000"/>
    <n v="2023"/>
    <x v="7"/>
    <x v="3"/>
    <s v="Imputed Category"/>
    <s v="Original"/>
    <s v="Original"/>
  </r>
  <r>
    <n v="141"/>
    <d v="2024-01-01T00:00:00"/>
    <s v="Customer_17"/>
    <x v="1"/>
    <x v="5"/>
    <s v="Electronics"/>
    <n v="2"/>
    <n v="10000"/>
    <n v="20000"/>
    <n v="2024"/>
    <x v="9"/>
    <x v="2"/>
    <s v="Original"/>
    <s v="Original"/>
    <s v="Imputed (Median)"/>
  </r>
  <r>
    <n v="142"/>
    <d v="2023-03-28T00:00:00"/>
    <s v="Customer_17"/>
    <x v="1"/>
    <x v="4"/>
    <s v="Electronics"/>
    <n v="1"/>
    <n v="10000"/>
    <n v="10000"/>
    <n v="2023"/>
    <x v="5"/>
    <x v="2"/>
    <s v="Original"/>
    <s v="Original"/>
    <s v="Original"/>
  </r>
  <r>
    <n v="143"/>
    <d v="2023-09-24T00:00:00"/>
    <s v="Customer_10"/>
    <x v="0"/>
    <x v="1"/>
    <s v="Electronics"/>
    <n v="3"/>
    <n v="10000"/>
    <n v="30000"/>
    <n v="2023"/>
    <x v="0"/>
    <x v="0"/>
    <s v="Product unknown"/>
    <s v="Imputed (Median)"/>
    <s v="Imputed (Median)"/>
  </r>
  <r>
    <n v="144"/>
    <d v="2023-12-07T00:00:00"/>
    <s v="Customer_17"/>
    <x v="1"/>
    <x v="3"/>
    <s v="Electronics"/>
    <n v="1"/>
    <n v="10000"/>
    <n v="10000"/>
    <n v="2023"/>
    <x v="2"/>
    <x v="1"/>
    <s v="Imputed Category"/>
    <s v="Original"/>
    <s v="Imputed (Median)"/>
  </r>
  <r>
    <n v="145"/>
    <d v="2023-06-19T00:00:00"/>
    <s v="Customer_9"/>
    <x v="2"/>
    <x v="3"/>
    <s v="Electronics"/>
    <n v="4"/>
    <n v="10000"/>
    <n v="40000"/>
    <n v="2023"/>
    <x v="6"/>
    <x v="3"/>
    <s v="Date imputed (median); Category Imputed"/>
    <s v="Original"/>
    <s v="Imputed (Median)"/>
  </r>
  <r>
    <n v="146"/>
    <d v="2023-01-26T00:00:00"/>
    <s v="Customer_43"/>
    <x v="1"/>
    <x v="2"/>
    <s v="Accessories"/>
    <n v="3"/>
    <n v="30000"/>
    <n v="90000"/>
    <n v="2023"/>
    <x v="9"/>
    <x v="2"/>
    <s v="Original"/>
    <s v="Imputed (Median)"/>
    <s v="Original"/>
  </r>
  <r>
    <n v="147"/>
    <d v="2023-12-05T00:00:00"/>
    <s v="Customer_50"/>
    <x v="0"/>
    <x v="5"/>
    <s v="Electronics"/>
    <n v="1"/>
    <n v="20000"/>
    <n v="20000"/>
    <n v="2023"/>
    <x v="2"/>
    <x v="1"/>
    <s v="Original"/>
    <s v="Original"/>
    <s v="Original"/>
  </r>
  <r>
    <n v="148"/>
    <d v="2023-04-29T00:00:00"/>
    <s v="Customer_5"/>
    <x v="0"/>
    <x v="2"/>
    <s v="Electronics"/>
    <n v="3"/>
    <n v="30000"/>
    <n v="90000"/>
    <n v="2023"/>
    <x v="8"/>
    <x v="3"/>
    <s v="Imputed Category"/>
    <s v="Original"/>
    <s v="Original"/>
  </r>
  <r>
    <n v="149"/>
    <d v="2023-02-18T00:00:00"/>
    <s v="Unknown Customer"/>
    <x v="3"/>
    <x v="5"/>
    <s v="Electronics"/>
    <n v="2"/>
    <n v="30000"/>
    <n v="60000"/>
    <n v="2023"/>
    <x v="10"/>
    <x v="2"/>
    <s v="Original"/>
    <s v="Original"/>
    <s v="Original"/>
  </r>
  <r>
    <n v="150"/>
    <d v="2023-01-28T00:00:00"/>
    <s v="Customer_25"/>
    <x v="3"/>
    <x v="2"/>
    <s v="Electronics"/>
    <n v="1"/>
    <n v="30000"/>
    <n v="30000"/>
    <n v="2023"/>
    <x v="9"/>
    <x v="2"/>
    <s v="Imputed Category"/>
    <s v="Original"/>
    <s v="Original"/>
  </r>
  <r>
    <n v="151"/>
    <d v="2023-02-03T00:00:00"/>
    <s v="Unknown Customer"/>
    <x v="0"/>
    <x v="4"/>
    <s v="Electronics"/>
    <n v="2"/>
    <n v="10000"/>
    <n v="20000"/>
    <n v="2023"/>
    <x v="10"/>
    <x v="2"/>
    <s v="Original"/>
    <s v="Original"/>
    <s v="Imputed (Median)"/>
  </r>
  <r>
    <n v="152"/>
    <d v="2023-05-03T00:00:00"/>
    <s v="Customer_37"/>
    <x v="3"/>
    <x v="5"/>
    <s v="Accessories"/>
    <n v="4"/>
    <n v="5000"/>
    <n v="20000"/>
    <n v="2023"/>
    <x v="7"/>
    <x v="3"/>
    <s v="Original"/>
    <s v="Original"/>
    <s v="Original"/>
  </r>
  <r>
    <n v="153"/>
    <d v="2023-06-19T00:00:00"/>
    <s v="Customer_17"/>
    <x v="1"/>
    <x v="3"/>
    <s v="Electronics"/>
    <n v="3"/>
    <n v="5000"/>
    <n v="15000"/>
    <n v="2023"/>
    <x v="6"/>
    <x v="3"/>
    <s v="Date imputed (median); Category Imputed"/>
    <s v="Original"/>
    <s v="Original"/>
  </r>
  <r>
    <n v="154"/>
    <d v="2023-05-25T00:00:00"/>
    <s v="Customer_35"/>
    <x v="0"/>
    <x v="1"/>
    <s v="Accessories"/>
    <n v="2"/>
    <n v="1000"/>
    <n v="2000"/>
    <n v="2023"/>
    <x v="7"/>
    <x v="3"/>
    <s v="Product unknown"/>
    <s v="Original"/>
    <s v="Original"/>
  </r>
  <r>
    <n v="155"/>
    <d v="2023-10-28T00:00:00"/>
    <s v="Customer_27"/>
    <x v="1"/>
    <x v="3"/>
    <s v="Electronics"/>
    <n v="4"/>
    <n v="20000"/>
    <n v="80000"/>
    <n v="2023"/>
    <x v="11"/>
    <x v="1"/>
    <s v="Imputed Category"/>
    <s v="Original"/>
    <s v="Original"/>
  </r>
  <r>
    <n v="156"/>
    <d v="2023-10-23T00:00:00"/>
    <s v="Customer_17"/>
    <x v="0"/>
    <x v="5"/>
    <s v="Electronics"/>
    <n v="2"/>
    <n v="10000"/>
    <n v="20000"/>
    <n v="2023"/>
    <x v="11"/>
    <x v="1"/>
    <s v="Original"/>
    <s v="Original"/>
    <s v="Imputed (Median)"/>
  </r>
  <r>
    <n v="157"/>
    <d v="2023-05-10T00:00:00"/>
    <s v="Customer_23"/>
    <x v="0"/>
    <x v="1"/>
    <s v="Electronics"/>
    <n v="3"/>
    <n v="10000"/>
    <n v="30000"/>
    <n v="2023"/>
    <x v="7"/>
    <x v="3"/>
    <s v="Product unknown"/>
    <s v="Imputed (Median)"/>
    <s v="Original"/>
  </r>
  <r>
    <n v="158"/>
    <d v="2023-08-24T00:00:00"/>
    <s v="Customer_3"/>
    <x v="1"/>
    <x v="4"/>
    <s v="Accessories"/>
    <n v="3"/>
    <n v="30000"/>
    <n v="90000"/>
    <n v="2023"/>
    <x v="4"/>
    <x v="0"/>
    <s v="Original"/>
    <s v="Imputed (Median)"/>
    <s v="Original"/>
  </r>
  <r>
    <n v="159"/>
    <d v="2023-12-19T00:00:00"/>
    <s v="Customer_10"/>
    <x v="1"/>
    <x v="0"/>
    <s v="Electronics"/>
    <n v="3"/>
    <n v="30000"/>
    <n v="90000"/>
    <n v="2023"/>
    <x v="2"/>
    <x v="1"/>
    <s v="Original"/>
    <s v="Imputed (Median)"/>
    <s v="Original"/>
  </r>
  <r>
    <n v="160"/>
    <d v="2023-06-19T00:00:00"/>
    <s v="Customer_16"/>
    <x v="1"/>
    <x v="1"/>
    <s v="Electronics"/>
    <n v="5"/>
    <n v="20000"/>
    <n v="100000"/>
    <n v="2023"/>
    <x v="6"/>
    <x v="3"/>
    <s v="Date imputed (median); Product unknown"/>
    <s v="Original"/>
    <s v="Original"/>
  </r>
  <r>
    <n v="161"/>
    <d v="2023-09-13T00:00:00"/>
    <s v="Customer_5"/>
    <x v="2"/>
    <x v="4"/>
    <s v="Electronics"/>
    <n v="5"/>
    <n v="10000"/>
    <n v="50000"/>
    <n v="2023"/>
    <x v="0"/>
    <x v="0"/>
    <s v="Imputed Category"/>
    <s v="Original"/>
    <s v="Original"/>
  </r>
  <r>
    <n v="162"/>
    <d v="2023-06-19T00:00:00"/>
    <s v="Customer_26"/>
    <x v="1"/>
    <x v="5"/>
    <s v="Electronics"/>
    <n v="3"/>
    <n v="10000"/>
    <n v="30000"/>
    <n v="2023"/>
    <x v="6"/>
    <x v="3"/>
    <s v="Date imputed (median); Category Imputed"/>
    <s v="Original"/>
    <s v="Imputed (Median)"/>
  </r>
  <r>
    <n v="163"/>
    <d v="2023-06-19T00:00:00"/>
    <s v="Customer_45"/>
    <x v="0"/>
    <x v="3"/>
    <s v="Electronics"/>
    <n v="1"/>
    <n v="10000"/>
    <n v="10000"/>
    <n v="2023"/>
    <x v="6"/>
    <x v="3"/>
    <s v="Date imputed (median)"/>
    <s v="Original"/>
    <s v="Imputed (Median)"/>
  </r>
  <r>
    <n v="164"/>
    <d v="2023-08-28T00:00:00"/>
    <s v="Customer_5"/>
    <x v="1"/>
    <x v="3"/>
    <s v="Electronics"/>
    <n v="1"/>
    <n v="20000"/>
    <n v="20000"/>
    <n v="2023"/>
    <x v="4"/>
    <x v="0"/>
    <s v="Imputed Category"/>
    <s v="Original"/>
    <s v="Original"/>
  </r>
  <r>
    <n v="165"/>
    <d v="2023-08-22T00:00:00"/>
    <s v="Customer_23"/>
    <x v="1"/>
    <x v="4"/>
    <s v="Electronics"/>
    <n v="1"/>
    <n v="10000"/>
    <n v="10000"/>
    <n v="2023"/>
    <x v="4"/>
    <x v="0"/>
    <s v="Original"/>
    <s v="Original"/>
    <s v="Original"/>
  </r>
  <r>
    <n v="166"/>
    <d v="2023-05-05T00:00:00"/>
    <s v="Customer_48"/>
    <x v="2"/>
    <x v="0"/>
    <s v="Electronics"/>
    <n v="3"/>
    <n v="1000"/>
    <n v="3000"/>
    <n v="2023"/>
    <x v="7"/>
    <x v="3"/>
    <s v="Original"/>
    <s v="Original"/>
    <s v="Original"/>
  </r>
  <r>
    <n v="167"/>
    <d v="2023-06-20T00:00:00"/>
    <s v="Customer_41"/>
    <x v="1"/>
    <x v="4"/>
    <s v="Accessories"/>
    <n v="2"/>
    <n v="10000"/>
    <n v="20000"/>
    <n v="2023"/>
    <x v="6"/>
    <x v="3"/>
    <s v="Original"/>
    <s v="Original"/>
    <s v="Imputed (Median)"/>
  </r>
  <r>
    <n v="168"/>
    <d v="2023-06-19T00:00:00"/>
    <s v="Customer_31"/>
    <x v="3"/>
    <x v="2"/>
    <s v="Electronics"/>
    <n v="5"/>
    <n v="20000"/>
    <n v="100000"/>
    <n v="2023"/>
    <x v="6"/>
    <x v="3"/>
    <s v="Date imputed (median); Category Imputed"/>
    <s v="Original"/>
    <s v="Original"/>
  </r>
  <r>
    <n v="169"/>
    <d v="2023-03-26T00:00:00"/>
    <s v="Customer_48"/>
    <x v="0"/>
    <x v="4"/>
    <s v="Electronics"/>
    <n v="3"/>
    <n v="30000"/>
    <n v="90000"/>
    <n v="2023"/>
    <x v="5"/>
    <x v="2"/>
    <s v="Original"/>
    <s v="Imputed (Median)"/>
    <s v="Original"/>
  </r>
  <r>
    <n v="170"/>
    <d v="2023-02-13T00:00:00"/>
    <s v="Unknown Customer"/>
    <x v="2"/>
    <x v="4"/>
    <s v="Accessories"/>
    <n v="5"/>
    <n v="1000"/>
    <n v="5000"/>
    <n v="2023"/>
    <x v="10"/>
    <x v="2"/>
    <s v="Original"/>
    <s v="Original"/>
    <s v="Original"/>
  </r>
  <r>
    <n v="171"/>
    <d v="2023-07-19T00:00:00"/>
    <s v="Customer_32"/>
    <x v="1"/>
    <x v="1"/>
    <s v="Unknown Category"/>
    <n v="3"/>
    <n v="5000"/>
    <n v="15000"/>
    <n v="2023"/>
    <x v="1"/>
    <x v="0"/>
    <s v="Product unknown; Category unknown"/>
    <s v="Imputed (Median)"/>
    <s v="Original"/>
  </r>
  <r>
    <n v="172"/>
    <d v="2023-06-19T00:00:00"/>
    <s v="Customer_18"/>
    <x v="2"/>
    <x v="5"/>
    <s v="Accessories"/>
    <n v="4"/>
    <n v="5000"/>
    <n v="20000"/>
    <n v="2023"/>
    <x v="6"/>
    <x v="3"/>
    <s v="Date imputed (median)"/>
    <s v="Original"/>
    <s v="Original"/>
  </r>
  <r>
    <n v="173"/>
    <d v="2023-08-22T00:00:00"/>
    <s v="Customer_35"/>
    <x v="0"/>
    <x v="2"/>
    <s v="Electronics"/>
    <n v="3"/>
    <n v="20000"/>
    <n v="60000"/>
    <n v="2023"/>
    <x v="4"/>
    <x v="0"/>
    <s v="Original"/>
    <s v="Original"/>
    <s v="Original"/>
  </r>
  <r>
    <n v="174"/>
    <d v="2023-06-19T00:00:00"/>
    <s v="Customer_50"/>
    <x v="1"/>
    <x v="2"/>
    <s v="Electronics"/>
    <n v="3"/>
    <n v="10000"/>
    <n v="30000"/>
    <n v="2023"/>
    <x v="6"/>
    <x v="3"/>
    <s v="Date imputed (median); Category Imputed"/>
    <s v="Imputed (Median)"/>
    <s v="Imputed (Median)"/>
  </r>
  <r>
    <n v="175"/>
    <d v="2023-06-13T00:00:00"/>
    <s v="Customer_35"/>
    <x v="1"/>
    <x v="4"/>
    <s v="Electronics"/>
    <n v="3"/>
    <n v="10000"/>
    <n v="30000"/>
    <n v="2023"/>
    <x v="6"/>
    <x v="3"/>
    <s v="Original"/>
    <s v="Original"/>
    <s v="Imputed (Median)"/>
  </r>
  <r>
    <n v="176"/>
    <d v="2023-08-17T00:00:00"/>
    <s v="Customer_18"/>
    <x v="3"/>
    <x v="1"/>
    <s v="Accessories"/>
    <n v="3"/>
    <n v="5000"/>
    <n v="15000"/>
    <n v="2023"/>
    <x v="4"/>
    <x v="0"/>
    <s v="Product unknown"/>
    <s v="Imputed (Median)"/>
    <s v="Original"/>
  </r>
  <r>
    <n v="177"/>
    <d v="2023-06-19T00:00:00"/>
    <s v="Customer_17"/>
    <x v="1"/>
    <x v="0"/>
    <s v="Accessories"/>
    <n v="3"/>
    <n v="10000"/>
    <n v="30000"/>
    <n v="2023"/>
    <x v="6"/>
    <x v="3"/>
    <s v="Date imputed (median)"/>
    <s v="Imputed (Median)"/>
    <s v="Imputed (Median)"/>
  </r>
  <r>
    <n v="178"/>
    <d v="2023-07-11T00:00:00"/>
    <s v="Unknown Customer"/>
    <x v="0"/>
    <x v="2"/>
    <s v="Electronics"/>
    <n v="1"/>
    <n v="10000"/>
    <n v="10000"/>
    <n v="2023"/>
    <x v="1"/>
    <x v="0"/>
    <s v="Original"/>
    <s v="Original"/>
    <s v="Imputed (Median)"/>
  </r>
  <r>
    <n v="179"/>
    <d v="2023-11-11T00:00:00"/>
    <s v="Customer_49"/>
    <x v="1"/>
    <x v="0"/>
    <s v="Accessories"/>
    <n v="3"/>
    <n v="20000"/>
    <n v="60000"/>
    <n v="2023"/>
    <x v="3"/>
    <x v="1"/>
    <s v="Original"/>
    <s v="Original"/>
    <s v="Original"/>
  </r>
  <r>
    <n v="180"/>
    <d v="2023-01-10T00:00:00"/>
    <s v="Customer_19"/>
    <x v="0"/>
    <x v="5"/>
    <s v="Accessories"/>
    <n v="3"/>
    <n v="5000"/>
    <n v="15000"/>
    <n v="2023"/>
    <x v="9"/>
    <x v="2"/>
    <s v="Original"/>
    <s v="Imputed (Median)"/>
    <s v="Original"/>
  </r>
  <r>
    <n v="181"/>
    <d v="2023-05-21T00:00:00"/>
    <s v="Customer_47"/>
    <x v="2"/>
    <x v="4"/>
    <s v="Accessories"/>
    <n v="1"/>
    <n v="10000"/>
    <n v="10000"/>
    <n v="2023"/>
    <x v="7"/>
    <x v="3"/>
    <s v="Original"/>
    <s v="Original"/>
    <s v="Imputed (Median)"/>
  </r>
  <r>
    <n v="182"/>
    <d v="2023-06-19T00:00:00"/>
    <s v="Customer_1"/>
    <x v="1"/>
    <x v="2"/>
    <s v="Electronics"/>
    <n v="3"/>
    <n v="20000"/>
    <n v="60000"/>
    <n v="2023"/>
    <x v="6"/>
    <x v="3"/>
    <s v="Date imputed (median)"/>
    <s v="Original"/>
    <s v="Original"/>
  </r>
  <r>
    <n v="183"/>
    <d v="2023-09-10T00:00:00"/>
    <s v="Customer_44"/>
    <x v="3"/>
    <x v="5"/>
    <s v="Electronics"/>
    <n v="3"/>
    <n v="10000"/>
    <n v="30000"/>
    <n v="2023"/>
    <x v="0"/>
    <x v="0"/>
    <s v="Original"/>
    <s v="Imputed (Median)"/>
    <s v="Original"/>
  </r>
  <r>
    <n v="184"/>
    <d v="2023-02-10T00:00:00"/>
    <s v="Customer_20"/>
    <x v="3"/>
    <x v="3"/>
    <s v="Electronics"/>
    <n v="3"/>
    <n v="5000"/>
    <n v="15000"/>
    <n v="2023"/>
    <x v="10"/>
    <x v="2"/>
    <s v="Original"/>
    <s v="Original"/>
    <s v="Original"/>
  </r>
  <r>
    <n v="185"/>
    <d v="2023-07-24T00:00:00"/>
    <s v="Customer_34"/>
    <x v="1"/>
    <x v="1"/>
    <s v="Accessories"/>
    <n v="5"/>
    <n v="1000"/>
    <n v="5000"/>
    <n v="2023"/>
    <x v="1"/>
    <x v="0"/>
    <s v="Product unknown"/>
    <s v="Original"/>
    <s v="Original"/>
  </r>
  <r>
    <n v="186"/>
    <d v="2023-04-12T00:00:00"/>
    <s v="Customer_18"/>
    <x v="2"/>
    <x v="3"/>
    <s v="Electronics"/>
    <n v="3"/>
    <n v="10000"/>
    <n v="30000"/>
    <n v="2023"/>
    <x v="8"/>
    <x v="3"/>
    <s v="Imputed Category"/>
    <s v="Original"/>
    <s v="Imputed (Median)"/>
  </r>
  <r>
    <n v="187"/>
    <d v="2023-03-03T00:00:00"/>
    <s v="Customer_5"/>
    <x v="0"/>
    <x v="2"/>
    <s v="Electronics"/>
    <n v="3"/>
    <n v="1000"/>
    <n v="3000"/>
    <n v="2023"/>
    <x v="5"/>
    <x v="2"/>
    <s v="Original"/>
    <s v="Original"/>
    <s v="Original"/>
  </r>
  <r>
    <n v="188"/>
    <d v="2023-09-23T00:00:00"/>
    <s v="Customer_19"/>
    <x v="1"/>
    <x v="2"/>
    <s v="Accessories"/>
    <n v="5"/>
    <n v="10000"/>
    <n v="50000"/>
    <n v="2023"/>
    <x v="0"/>
    <x v="0"/>
    <s v="Original"/>
    <s v="Original"/>
    <s v="Original"/>
  </r>
  <r>
    <n v="189"/>
    <d v="2023-06-18T00:00:00"/>
    <s v="Customer_33"/>
    <x v="1"/>
    <x v="5"/>
    <s v="Electronics"/>
    <n v="1"/>
    <n v="10000"/>
    <n v="10000"/>
    <n v="2023"/>
    <x v="6"/>
    <x v="3"/>
    <s v="Original"/>
    <s v="Original"/>
    <s v="Imputed (Median)"/>
  </r>
  <r>
    <n v="190"/>
    <d v="2023-06-16T00:00:00"/>
    <s v="Customer_20"/>
    <x v="3"/>
    <x v="2"/>
    <s v="Electronics"/>
    <n v="4"/>
    <n v="1000"/>
    <n v="4000"/>
    <n v="2023"/>
    <x v="6"/>
    <x v="3"/>
    <s v="Original"/>
    <s v="Original"/>
    <s v="Original"/>
  </r>
  <r>
    <n v="191"/>
    <d v="2023-06-19T00:00:00"/>
    <s v="Customer_29"/>
    <x v="1"/>
    <x v="3"/>
    <s v="Electronics"/>
    <n v="3"/>
    <n v="1000"/>
    <n v="3000"/>
    <n v="2023"/>
    <x v="6"/>
    <x v="3"/>
    <s v="Date imputed (median); Category Imputed"/>
    <s v="Original"/>
    <s v="Original"/>
  </r>
  <r>
    <n v="192"/>
    <d v="2023-06-19T00:00:00"/>
    <s v="Customer_24"/>
    <x v="0"/>
    <x v="1"/>
    <s v="Unknown Category"/>
    <n v="2"/>
    <n v="1000"/>
    <n v="2000"/>
    <n v="2023"/>
    <x v="6"/>
    <x v="3"/>
    <s v="Date imputed (median); Product unknown; Category unknown"/>
    <s v="Original"/>
    <s v="Original"/>
  </r>
  <r>
    <n v="193"/>
    <d v="2023-04-28T00:00:00"/>
    <s v="Customer_39"/>
    <x v="3"/>
    <x v="2"/>
    <s v="Electronics"/>
    <n v="2"/>
    <n v="1000"/>
    <n v="2000"/>
    <n v="2023"/>
    <x v="8"/>
    <x v="3"/>
    <s v="Original"/>
    <s v="Original"/>
    <s v="Original"/>
  </r>
  <r>
    <n v="194"/>
    <d v="2023-10-23T00:00:00"/>
    <s v="Customer_14"/>
    <x v="0"/>
    <x v="2"/>
    <s v="Electronics"/>
    <n v="4"/>
    <n v="5000"/>
    <n v="20000"/>
    <n v="2023"/>
    <x v="11"/>
    <x v="1"/>
    <s v="Original"/>
    <s v="Original"/>
    <s v="Original"/>
  </r>
  <r>
    <n v="195"/>
    <d v="2023-12-08T00:00:00"/>
    <s v="Unknown Customer"/>
    <x v="1"/>
    <x v="0"/>
    <s v="Accessories"/>
    <n v="2"/>
    <n v="5000"/>
    <n v="10000"/>
    <n v="2023"/>
    <x v="2"/>
    <x v="1"/>
    <s v="Original"/>
    <s v="Original"/>
    <s v="Original"/>
  </r>
  <r>
    <n v="196"/>
    <d v="2023-03-09T00:00:00"/>
    <s v="Customer_1"/>
    <x v="2"/>
    <x v="4"/>
    <s v="Electronics"/>
    <n v="1"/>
    <n v="20000"/>
    <n v="20000"/>
    <n v="2023"/>
    <x v="5"/>
    <x v="2"/>
    <s v="Original"/>
    <s v="Original"/>
    <s v="Original"/>
  </r>
  <r>
    <n v="197"/>
    <d v="2023-02-24T00:00:00"/>
    <s v="Customer_27"/>
    <x v="1"/>
    <x v="5"/>
    <s v="Electronics"/>
    <n v="2"/>
    <n v="10000"/>
    <n v="20000"/>
    <n v="2023"/>
    <x v="10"/>
    <x v="2"/>
    <s v="Original"/>
    <s v="Original"/>
    <s v="Imputed (Median)"/>
  </r>
  <r>
    <n v="198"/>
    <d v="2023-02-09T00:00:00"/>
    <s v="Customer_44"/>
    <x v="2"/>
    <x v="4"/>
    <s v="Electronics"/>
    <n v="3"/>
    <n v="30000"/>
    <n v="90000"/>
    <n v="2023"/>
    <x v="10"/>
    <x v="2"/>
    <s v="Original"/>
    <s v="Original"/>
    <s v="Original"/>
  </r>
  <r>
    <n v="199"/>
    <d v="2023-06-01T00:00:00"/>
    <s v="Customer_32"/>
    <x v="1"/>
    <x v="4"/>
    <s v="Accessories"/>
    <n v="3"/>
    <n v="10000"/>
    <n v="30000"/>
    <n v="2023"/>
    <x v="6"/>
    <x v="3"/>
    <s v="Original"/>
    <s v="Imputed (Median)"/>
    <s v="Imputed (Median)"/>
  </r>
  <r>
    <n v="200"/>
    <d v="2023-01-06T00:00:00"/>
    <s v="Customer_19"/>
    <x v="3"/>
    <x v="4"/>
    <s v="Electronics"/>
    <n v="3"/>
    <n v="20000"/>
    <n v="60000"/>
    <n v="2023"/>
    <x v="9"/>
    <x v="2"/>
    <s v="Imputed Category"/>
    <s v="Original"/>
    <s v="Original"/>
  </r>
  <r>
    <n v="201"/>
    <d v="2023-07-18T00:00:00"/>
    <s v="Customer_35"/>
    <x v="0"/>
    <x v="1"/>
    <s v="Unknown Category"/>
    <n v="3"/>
    <n v="10000"/>
    <n v="30000"/>
    <n v="2023"/>
    <x v="1"/>
    <x v="0"/>
    <s v="Product unknown; Category unknown"/>
    <s v="Imputed (Median)"/>
    <s v="Original"/>
  </r>
  <r>
    <n v="202"/>
    <d v="2023-07-30T00:00:00"/>
    <s v="Customer_7"/>
    <x v="0"/>
    <x v="5"/>
    <s v="Electronics"/>
    <n v="3"/>
    <n v="1000"/>
    <n v="3000"/>
    <n v="2023"/>
    <x v="1"/>
    <x v="0"/>
    <s v="Original"/>
    <s v="Imputed (Median)"/>
    <s v="Original"/>
  </r>
  <r>
    <n v="203"/>
    <d v="2023-12-27T00:00:00"/>
    <s v="Unknown Customer"/>
    <x v="1"/>
    <x v="3"/>
    <s v="Accessories"/>
    <n v="2"/>
    <n v="1000"/>
    <n v="2000"/>
    <n v="2023"/>
    <x v="2"/>
    <x v="1"/>
    <s v="Original"/>
    <s v="Original"/>
    <s v="Original"/>
  </r>
  <r>
    <n v="204"/>
    <d v="2023-06-10T00:00:00"/>
    <s v="Customer_12"/>
    <x v="1"/>
    <x v="0"/>
    <s v="Accessories"/>
    <n v="1"/>
    <n v="10000"/>
    <n v="10000"/>
    <n v="2023"/>
    <x v="6"/>
    <x v="3"/>
    <s v="Imputed Category"/>
    <s v="Original"/>
    <s v="Original"/>
  </r>
  <r>
    <n v="205"/>
    <d v="2023-12-30T00:00:00"/>
    <s v="Customer_49"/>
    <x v="1"/>
    <x v="3"/>
    <s v="Accessories"/>
    <n v="5"/>
    <n v="10000"/>
    <n v="50000"/>
    <n v="2023"/>
    <x v="2"/>
    <x v="1"/>
    <s v="Original"/>
    <s v="Original"/>
    <s v="Imputed (Median)"/>
  </r>
  <r>
    <n v="206"/>
    <d v="2023-01-25T00:00:00"/>
    <s v="Customer_6"/>
    <x v="2"/>
    <x v="0"/>
    <s v="Accessories"/>
    <n v="1"/>
    <n v="30000"/>
    <n v="30000"/>
    <n v="2023"/>
    <x v="9"/>
    <x v="2"/>
    <s v="Imputed Category"/>
    <s v="Original"/>
    <s v="Original"/>
  </r>
  <r>
    <n v="207"/>
    <d v="2023-08-05T00:00:00"/>
    <s v="Customer_2"/>
    <x v="2"/>
    <x v="2"/>
    <s v="Electronics"/>
    <n v="3"/>
    <n v="10000"/>
    <n v="30000"/>
    <n v="2023"/>
    <x v="4"/>
    <x v="0"/>
    <s v="Imputed Category"/>
    <s v="Original"/>
    <s v="Imputed (Median)"/>
  </r>
  <r>
    <n v="208"/>
    <d v="2023-06-12T00:00:00"/>
    <s v="Unknown Customer"/>
    <x v="0"/>
    <x v="4"/>
    <s v="Electronics"/>
    <n v="4"/>
    <n v="10000"/>
    <n v="40000"/>
    <n v="2023"/>
    <x v="6"/>
    <x v="3"/>
    <s v="Original"/>
    <s v="Original"/>
    <s v="Imputed (Median)"/>
  </r>
  <r>
    <n v="209"/>
    <d v="2023-01-14T00:00:00"/>
    <s v="Customer_44"/>
    <x v="2"/>
    <x v="4"/>
    <s v="Accessories"/>
    <n v="4"/>
    <n v="10000"/>
    <n v="40000"/>
    <n v="2023"/>
    <x v="9"/>
    <x v="2"/>
    <s v="Original"/>
    <s v="Original"/>
    <s v="Imputed (Median)"/>
  </r>
  <r>
    <n v="210"/>
    <d v="2023-02-25T00:00:00"/>
    <s v="Customer_14"/>
    <x v="0"/>
    <x v="0"/>
    <s v="Accessories"/>
    <n v="2"/>
    <n v="10000"/>
    <n v="20000"/>
    <n v="2023"/>
    <x v="10"/>
    <x v="2"/>
    <s v="Original"/>
    <s v="Original"/>
    <s v="Original"/>
  </r>
  <r>
    <n v="211"/>
    <d v="2023-06-19T00:00:00"/>
    <s v="Customer_49"/>
    <x v="1"/>
    <x v="1"/>
    <s v="Electronics"/>
    <n v="3"/>
    <n v="30000"/>
    <n v="90000"/>
    <n v="2023"/>
    <x v="6"/>
    <x v="3"/>
    <s v="Date imputed (median); Product unknown"/>
    <s v="Imputed (Median)"/>
    <s v="Original"/>
  </r>
  <r>
    <n v="212"/>
    <d v="2023-10-19T00:00:00"/>
    <s v="Customer_47"/>
    <x v="3"/>
    <x v="0"/>
    <s v="Accessories"/>
    <n v="1"/>
    <n v="30000"/>
    <n v="30000"/>
    <n v="2023"/>
    <x v="11"/>
    <x v="1"/>
    <s v="Imputed Category"/>
    <s v="Original"/>
    <s v="Original"/>
  </r>
  <r>
    <n v="213"/>
    <d v="2023-05-31T00:00:00"/>
    <s v="Customer_2"/>
    <x v="0"/>
    <x v="1"/>
    <s v="Electronics"/>
    <n v="3"/>
    <n v="10000"/>
    <n v="30000"/>
    <n v="2023"/>
    <x v="7"/>
    <x v="3"/>
    <s v="Product unknown"/>
    <s v="Original"/>
    <s v="Imputed (Median)"/>
  </r>
  <r>
    <n v="214"/>
    <d v="2023-06-15T00:00:00"/>
    <s v="Customer_12"/>
    <x v="2"/>
    <x v="3"/>
    <s v="Accessories"/>
    <n v="1"/>
    <n v="5000"/>
    <n v="5000"/>
    <n v="2023"/>
    <x v="6"/>
    <x v="3"/>
    <s v="Original"/>
    <s v="Original"/>
    <s v="Original"/>
  </r>
  <r>
    <n v="215"/>
    <d v="2023-10-20T00:00:00"/>
    <s v="Customer_28"/>
    <x v="3"/>
    <x v="0"/>
    <s v="Accessories"/>
    <n v="2"/>
    <n v="10000"/>
    <n v="20000"/>
    <n v="2023"/>
    <x v="11"/>
    <x v="1"/>
    <s v="Original"/>
    <s v="Original"/>
    <s v="Original"/>
  </r>
  <r>
    <n v="216"/>
    <d v="2023-07-19T00:00:00"/>
    <s v="Customer_26"/>
    <x v="0"/>
    <x v="1"/>
    <s v="Accessories"/>
    <n v="1"/>
    <n v="30000"/>
    <n v="30000"/>
    <n v="2023"/>
    <x v="1"/>
    <x v="0"/>
    <s v="Product unknown"/>
    <s v="Original"/>
    <s v="Original"/>
  </r>
  <r>
    <n v="217"/>
    <d v="2023-01-20T00:00:00"/>
    <s v="Customer_16"/>
    <x v="1"/>
    <x v="3"/>
    <s v="Accessories"/>
    <n v="3"/>
    <n v="30000"/>
    <n v="90000"/>
    <n v="2023"/>
    <x v="9"/>
    <x v="2"/>
    <s v="Original"/>
    <s v="Imputed (Median)"/>
    <s v="Original"/>
  </r>
  <r>
    <n v="218"/>
    <d v="2023-09-08T00:00:00"/>
    <s v="Customer_27"/>
    <x v="1"/>
    <x v="0"/>
    <s v="Accessories"/>
    <n v="3"/>
    <n v="30000"/>
    <n v="90000"/>
    <n v="2023"/>
    <x v="0"/>
    <x v="0"/>
    <s v="Original"/>
    <s v="Imputed (Median)"/>
    <s v="Original"/>
  </r>
  <r>
    <n v="219"/>
    <d v="2023-12-13T00:00:00"/>
    <s v="Customer_5"/>
    <x v="0"/>
    <x v="2"/>
    <s v="Electronics"/>
    <n v="2"/>
    <n v="5000"/>
    <n v="10000"/>
    <n v="2023"/>
    <x v="2"/>
    <x v="1"/>
    <s v="Original"/>
    <s v="Original"/>
    <s v="Original"/>
  </r>
  <r>
    <n v="220"/>
    <d v="2023-09-24T00:00:00"/>
    <s v="Customer_49"/>
    <x v="2"/>
    <x v="4"/>
    <s v="Electronics"/>
    <n v="5"/>
    <n v="10000"/>
    <n v="50000"/>
    <n v="2023"/>
    <x v="0"/>
    <x v="0"/>
    <s v="Imputed Category"/>
    <s v="Original"/>
    <s v="Imputed (Median)"/>
  </r>
  <r>
    <n v="221"/>
    <d v="2023-08-02T00:00:00"/>
    <s v="Unknown Customer"/>
    <x v="3"/>
    <x v="3"/>
    <s v="Electronics"/>
    <n v="3"/>
    <n v="5000"/>
    <n v="15000"/>
    <n v="2023"/>
    <x v="4"/>
    <x v="0"/>
    <s v="Imputed Category"/>
    <s v="Original"/>
    <s v="Original"/>
  </r>
  <r>
    <n v="222"/>
    <d v="2023-04-19T00:00:00"/>
    <s v="Customer_8"/>
    <x v="2"/>
    <x v="2"/>
    <s v="Electronics"/>
    <n v="3"/>
    <n v="30000"/>
    <n v="90000"/>
    <n v="2023"/>
    <x v="8"/>
    <x v="3"/>
    <s v="Original"/>
    <s v="Imputed (Median)"/>
    <s v="Original"/>
  </r>
  <r>
    <n v="223"/>
    <d v="2023-11-25T00:00:00"/>
    <s v="Customer_47"/>
    <x v="1"/>
    <x v="1"/>
    <s v="Unknown Category"/>
    <n v="3"/>
    <n v="10000"/>
    <n v="30000"/>
    <n v="2023"/>
    <x v="3"/>
    <x v="1"/>
    <s v="Product unknown; Category unknown"/>
    <s v="Imputed (Median)"/>
    <s v="Imputed (Median)"/>
  </r>
  <r>
    <n v="224"/>
    <d v="2023-12-06T00:00:00"/>
    <s v="Customer_46"/>
    <x v="1"/>
    <x v="5"/>
    <s v="Electronics"/>
    <n v="2"/>
    <n v="10000"/>
    <n v="20000"/>
    <n v="2023"/>
    <x v="2"/>
    <x v="1"/>
    <s v="Imputed Category"/>
    <s v="Original"/>
    <s v="Original"/>
  </r>
  <r>
    <n v="225"/>
    <d v="2023-12-01T00:00:00"/>
    <s v="Customer_49"/>
    <x v="3"/>
    <x v="0"/>
    <s v="Accessories"/>
    <n v="5"/>
    <n v="5000"/>
    <n v="25000"/>
    <n v="2023"/>
    <x v="2"/>
    <x v="1"/>
    <s v="Original"/>
    <s v="Original"/>
    <s v="Original"/>
  </r>
  <r>
    <n v="226"/>
    <d v="2023-10-01T00:00:00"/>
    <s v="Customer_47"/>
    <x v="2"/>
    <x v="4"/>
    <s v="Electronics"/>
    <n v="2"/>
    <n v="1000"/>
    <n v="2000"/>
    <n v="2023"/>
    <x v="11"/>
    <x v="1"/>
    <s v="Original"/>
    <s v="Original"/>
    <s v="Original"/>
  </r>
  <r>
    <n v="227"/>
    <d v="2023-06-19T00:00:00"/>
    <s v="Customer_11"/>
    <x v="0"/>
    <x v="3"/>
    <s v="Accessories"/>
    <n v="3"/>
    <n v="20000"/>
    <n v="60000"/>
    <n v="2023"/>
    <x v="6"/>
    <x v="3"/>
    <s v="Date imputed (median)"/>
    <s v="Original"/>
    <s v="Original"/>
  </r>
  <r>
    <n v="228"/>
    <d v="2023-08-23T00:00:00"/>
    <s v="Customer_40"/>
    <x v="0"/>
    <x v="0"/>
    <s v="Accessories"/>
    <n v="3"/>
    <n v="5000"/>
    <n v="15000"/>
    <n v="2023"/>
    <x v="4"/>
    <x v="0"/>
    <s v="Original"/>
    <s v="Imputed (Median)"/>
    <s v="Original"/>
  </r>
  <r>
    <n v="229"/>
    <d v="2023-09-29T00:00:00"/>
    <s v="Customer_39"/>
    <x v="3"/>
    <x v="2"/>
    <s v="Accessories"/>
    <n v="1"/>
    <n v="10000"/>
    <n v="10000"/>
    <n v="2023"/>
    <x v="0"/>
    <x v="0"/>
    <s v="Original"/>
    <s v="Original"/>
    <s v="Imputed (Median)"/>
  </r>
  <r>
    <n v="230"/>
    <d v="2023-12-07T00:00:00"/>
    <s v="Customer_28"/>
    <x v="0"/>
    <x v="4"/>
    <s v="Electronics"/>
    <n v="3"/>
    <n v="10000"/>
    <n v="30000"/>
    <n v="2023"/>
    <x v="2"/>
    <x v="1"/>
    <s v="Imputed Category"/>
    <s v="Imputed (Median)"/>
    <s v="Imputed (Median)"/>
  </r>
  <r>
    <n v="231"/>
    <d v="2023-10-16T00:00:00"/>
    <s v="Customer_2"/>
    <x v="3"/>
    <x v="1"/>
    <s v="Unknown Category"/>
    <n v="5"/>
    <n v="20000"/>
    <n v="100000"/>
    <n v="2023"/>
    <x v="11"/>
    <x v="1"/>
    <s v="Product unknown; Category unknown"/>
    <s v="Original"/>
    <s v="Original"/>
  </r>
  <r>
    <n v="232"/>
    <d v="2023-09-26T00:00:00"/>
    <s v="Customer_4"/>
    <x v="3"/>
    <x v="3"/>
    <s v="Electronics"/>
    <n v="2"/>
    <n v="10000"/>
    <n v="20000"/>
    <n v="2023"/>
    <x v="0"/>
    <x v="0"/>
    <s v="Original"/>
    <s v="Original"/>
    <s v="Original"/>
  </r>
  <r>
    <n v="233"/>
    <d v="2023-06-19T00:00:00"/>
    <s v="Customer_3"/>
    <x v="1"/>
    <x v="5"/>
    <s v="Accessories"/>
    <n v="2"/>
    <n v="5000"/>
    <n v="10000"/>
    <n v="2023"/>
    <x v="6"/>
    <x v="3"/>
    <s v="Date imputed (median)"/>
    <s v="Original"/>
    <s v="Original"/>
  </r>
  <r>
    <n v="234"/>
    <d v="2023-06-11T00:00:00"/>
    <s v="Customer_14"/>
    <x v="3"/>
    <x v="2"/>
    <s v="Electronics"/>
    <n v="3"/>
    <n v="1000"/>
    <n v="3000"/>
    <n v="2023"/>
    <x v="6"/>
    <x v="3"/>
    <s v="Original"/>
    <s v="Imputed (Median)"/>
    <s v="Original"/>
  </r>
  <r>
    <n v="235"/>
    <d v="2023-05-11T00:00:00"/>
    <s v="Customer_35"/>
    <x v="3"/>
    <x v="0"/>
    <s v="Accessories"/>
    <n v="3"/>
    <n v="10000"/>
    <n v="30000"/>
    <n v="2023"/>
    <x v="7"/>
    <x v="3"/>
    <s v="Original"/>
    <s v="Original"/>
    <s v="Imputed (Median)"/>
  </r>
  <r>
    <n v="236"/>
    <d v="2023-06-19T00:00:00"/>
    <s v="Customer_44"/>
    <x v="3"/>
    <x v="1"/>
    <s v="Accessories"/>
    <n v="5"/>
    <n v="10000"/>
    <n v="50000"/>
    <n v="2023"/>
    <x v="6"/>
    <x v="3"/>
    <s v="Date imputed (median); Product unknown"/>
    <s v="Original"/>
    <s v="Imputed (Median)"/>
  </r>
  <r>
    <n v="237"/>
    <d v="2023-09-10T00:00:00"/>
    <s v="Customer_7"/>
    <x v="2"/>
    <x v="0"/>
    <s v="Electronics"/>
    <n v="2"/>
    <n v="10000"/>
    <n v="20000"/>
    <n v="2023"/>
    <x v="0"/>
    <x v="0"/>
    <s v="Original"/>
    <s v="Original"/>
    <s v="Imputed (Median)"/>
  </r>
  <r>
    <n v="238"/>
    <d v="2023-07-14T00:00:00"/>
    <s v="Customer_4"/>
    <x v="0"/>
    <x v="3"/>
    <s v="Accessories"/>
    <n v="5"/>
    <n v="10000"/>
    <n v="50000"/>
    <n v="2023"/>
    <x v="1"/>
    <x v="0"/>
    <s v="Original"/>
    <s v="Original"/>
    <s v="Original"/>
  </r>
  <r>
    <n v="239"/>
    <d v="2023-08-20T00:00:00"/>
    <s v="Customer_10"/>
    <x v="1"/>
    <x v="5"/>
    <s v="Electronics"/>
    <n v="3"/>
    <n v="10000"/>
    <n v="30000"/>
    <n v="2023"/>
    <x v="4"/>
    <x v="0"/>
    <s v="Original"/>
    <s v="Imputed (Median)"/>
    <s v="Original"/>
  </r>
  <r>
    <n v="240"/>
    <d v="2023-08-26T00:00:00"/>
    <s v="Customer_32"/>
    <x v="1"/>
    <x v="2"/>
    <s v="Accessories"/>
    <n v="3"/>
    <n v="10000"/>
    <n v="30000"/>
    <n v="2023"/>
    <x v="4"/>
    <x v="0"/>
    <s v="Original"/>
    <s v="Imputed (Median)"/>
    <s v="Imputed (Median)"/>
  </r>
  <r>
    <n v="241"/>
    <d v="2023-05-13T00:00:00"/>
    <s v="Customer_27"/>
    <x v="1"/>
    <x v="2"/>
    <s v="Electronics"/>
    <n v="3"/>
    <n v="10000"/>
    <n v="30000"/>
    <n v="2023"/>
    <x v="7"/>
    <x v="3"/>
    <s v="Imputed Category"/>
    <s v="Imputed (Median)"/>
    <s v="Original"/>
  </r>
  <r>
    <n v="242"/>
    <d v="2023-03-19T00:00:00"/>
    <s v="Customer_7"/>
    <x v="3"/>
    <x v="1"/>
    <s v="Accessories"/>
    <n v="1"/>
    <n v="5000"/>
    <n v="5000"/>
    <n v="2023"/>
    <x v="5"/>
    <x v="2"/>
    <s v="Product unknown"/>
    <s v="Original"/>
    <s v="Original"/>
  </r>
  <r>
    <n v="243"/>
    <d v="2023-10-13T00:00:00"/>
    <s v="Customer_30"/>
    <x v="0"/>
    <x v="5"/>
    <s v="Accessories"/>
    <n v="3"/>
    <n v="10000"/>
    <n v="30000"/>
    <n v="2023"/>
    <x v="11"/>
    <x v="1"/>
    <s v="Original"/>
    <s v="Imputed (Median)"/>
    <s v="Imputed (Median)"/>
  </r>
  <r>
    <n v="244"/>
    <d v="2023-01-04T00:00:00"/>
    <s v="Customer_9"/>
    <x v="2"/>
    <x v="4"/>
    <s v="Electronics"/>
    <n v="1"/>
    <n v="10000"/>
    <n v="10000"/>
    <n v="2023"/>
    <x v="9"/>
    <x v="2"/>
    <s v="Original"/>
    <s v="Original"/>
    <s v="Imputed (Median)"/>
  </r>
  <r>
    <n v="245"/>
    <d v="2023-12-24T00:00:00"/>
    <s v="Unknown Customer"/>
    <x v="2"/>
    <x v="3"/>
    <s v="Accessories"/>
    <n v="2"/>
    <n v="10000"/>
    <n v="20000"/>
    <n v="2023"/>
    <x v="2"/>
    <x v="1"/>
    <s v="Original"/>
    <s v="Original"/>
    <s v="Imputed (Median)"/>
  </r>
  <r>
    <n v="246"/>
    <d v="2023-01-07T00:00:00"/>
    <s v="Customer_39"/>
    <x v="0"/>
    <x v="3"/>
    <s v="Electronics"/>
    <n v="2"/>
    <n v="10000"/>
    <n v="20000"/>
    <n v="2023"/>
    <x v="9"/>
    <x v="2"/>
    <s v="Original"/>
    <s v="Original"/>
    <s v="Original"/>
  </r>
  <r>
    <n v="247"/>
    <d v="2023-12-21T00:00:00"/>
    <s v="Unknown Customer"/>
    <x v="0"/>
    <x v="4"/>
    <s v="Electronics"/>
    <n v="2"/>
    <n v="20000"/>
    <n v="40000"/>
    <n v="2023"/>
    <x v="2"/>
    <x v="1"/>
    <s v="Original"/>
    <s v="Original"/>
    <s v="Original"/>
  </r>
  <r>
    <n v="248"/>
    <d v="2023-03-31T00:00:00"/>
    <s v="Customer_5"/>
    <x v="1"/>
    <x v="3"/>
    <s v="Accessories"/>
    <n v="1"/>
    <n v="30000"/>
    <n v="30000"/>
    <n v="2023"/>
    <x v="5"/>
    <x v="2"/>
    <s v="Original"/>
    <s v="Original"/>
    <s v="Original"/>
  </r>
  <r>
    <n v="249"/>
    <d v="2023-03-31T00:00:00"/>
    <s v="Customer_11"/>
    <x v="0"/>
    <x v="1"/>
    <s v="Unknown Category"/>
    <n v="2"/>
    <n v="10000"/>
    <n v="20000"/>
    <n v="2023"/>
    <x v="5"/>
    <x v="2"/>
    <s v="Product unknown; Category unknown"/>
    <s v="Original"/>
    <s v="Imputed (Median)"/>
  </r>
  <r>
    <n v="250"/>
    <d v="2023-06-11T00:00:00"/>
    <s v="Customer_50"/>
    <x v="0"/>
    <x v="1"/>
    <s v="Electronics"/>
    <n v="2"/>
    <n v="1000"/>
    <n v="2000"/>
    <n v="2023"/>
    <x v="6"/>
    <x v="3"/>
    <s v="Product unknown"/>
    <s v="Original"/>
    <s v="Origin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937C21-2DBC-48EA-90FC-7E476A0628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12" firstHeaderRow="1" firstDataRow="1" firstDataCol="1"/>
  <pivotFields count="15">
    <pivotField showAll="0"/>
    <pivotField showAll="0"/>
    <pivotField showAll="0"/>
    <pivotField showAll="0"/>
    <pivotField axis="axisRow" showAll="0" measureFilter="1">
      <items count="7">
        <item x="0"/>
        <item x="2"/>
        <item x="4"/>
        <item x="3"/>
        <item x="5"/>
        <item x="1"/>
        <item t="default"/>
      </items>
    </pivotField>
    <pivotField showAll="0"/>
    <pivotField showAll="0"/>
    <pivotField showAll="0"/>
    <pivotField dataField="1"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Revenue" fld="8"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06AE18-C899-42C1-8019-102C5C14A7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4:C9" firstHeaderRow="0" firstDataRow="1" firstDataCol="1"/>
  <pivotFields count="15">
    <pivotField dataField="1" showAll="0"/>
    <pivotField showAll="0"/>
    <pivotField showAll="0"/>
    <pivotField axis="axisRow" showAll="0">
      <items count="6">
        <item m="1" x="4"/>
        <item x="0"/>
        <item x="3"/>
        <item x="1"/>
        <item x="2"/>
        <item t="default"/>
      </items>
    </pivotField>
    <pivotField showAll="0"/>
    <pivotField showAll="0"/>
    <pivotField showAll="0"/>
    <pivotField showAll="0"/>
    <pivotField dataField="1" showAll="0"/>
    <pivotField showAll="0"/>
    <pivotField showAll="0"/>
    <pivotField showAll="0">
      <items count="6">
        <item h="1" x="2"/>
        <item h="1" x="3"/>
        <item h="1" x="0"/>
        <item x="1"/>
        <item h="1" m="1" x="4"/>
        <item t="default"/>
      </items>
    </pivotField>
    <pivotField showAll="0"/>
    <pivotField showAll="0"/>
    <pivotField showAll="0"/>
  </pivotFields>
  <rowFields count="1">
    <field x="3"/>
  </rowFields>
  <rowItems count="5">
    <i>
      <x v="1"/>
    </i>
    <i>
      <x v="2"/>
    </i>
    <i>
      <x v="3"/>
    </i>
    <i>
      <x v="4"/>
    </i>
    <i t="grand">
      <x/>
    </i>
  </rowItems>
  <colFields count="1">
    <field x="-2"/>
  </colFields>
  <colItems count="2">
    <i>
      <x/>
    </i>
    <i i="1">
      <x v="1"/>
    </i>
  </colItems>
  <dataFields count="2">
    <dataField name="Revenue" fld="8" baseField="0" baseItem="0"/>
    <dataField name="No of orders" fld="0" subtotal="count" baseField="3"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85CF1-BDEB-4B21-B1A7-4CAB8D1CDB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15">
    <pivotField dataField="1" showAll="0"/>
    <pivotField showAll="0"/>
    <pivotField showAll="0"/>
    <pivotField showAll="0"/>
    <pivotField showAll="0"/>
    <pivotField showAll="0"/>
    <pivotField showAll="0"/>
    <pivotField showAll="0"/>
    <pivotField dataField="1" showAll="0"/>
    <pivotField showAll="0"/>
    <pivotField axis="axisRow" showAll="0">
      <items count="14">
        <item x="9"/>
        <item x="10"/>
        <item x="5"/>
        <item x="8"/>
        <item x="7"/>
        <item x="6"/>
        <item x="1"/>
        <item x="4"/>
        <item x="0"/>
        <item x="11"/>
        <item x="3"/>
        <item x="2"/>
        <item m="1" x="12"/>
        <item t="default"/>
      </items>
    </pivotField>
    <pivotField showAll="0"/>
    <pivotField showAll="0"/>
    <pivotField showAll="0"/>
    <pivotField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8" baseField="0" baseItem="0"/>
    <dataField name="Count of Order_ID" fld="0" subtotal="count" baseField="1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6AFF73C-665E-4434-86D3-CE1783988D55}" sourceName="Quarter">
  <pivotTables>
    <pivotTable tabId="5" name="PivotTable6"/>
  </pivotTables>
  <data>
    <tabular pivotCacheId="533705831">
      <items count="5">
        <i x="2"/>
        <i x="3"/>
        <i x="0"/>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4C7CCBF2-1A47-406E-87A9-21D4ADF1EC70}"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775D0-958E-45E8-8296-A9B7D0863C09}" name="Table1" displayName="Table1" ref="A1:O250" totalsRowShown="0" headerRowDxfId="22" dataDxfId="20" headerRowBorderDxfId="21" tableBorderDxfId="19">
  <autoFilter ref="A1:O250" xr:uid="{00000000-0001-0000-0000-000000000000}"/>
  <tableColumns count="15">
    <tableColumn id="1" xr3:uid="{814C9C32-771B-48FE-801B-16104696F74E}" name="Order_ID" dataDxfId="18"/>
    <tableColumn id="2" xr3:uid="{6C83D981-8581-4CD7-B9A2-BDECF141ADCD}" name="Order_Date" dataDxfId="17"/>
    <tableColumn id="3" xr3:uid="{4A57F958-D432-4BDF-B9CF-703D871EC7CC}" name="Customer_Name" dataDxfId="16"/>
    <tableColumn id="4" xr3:uid="{9BFE50FD-F08B-4E24-9DFD-71B3B8A14150}" name="Region" dataDxfId="15"/>
    <tableColumn id="5" xr3:uid="{751261A4-E3C7-46DE-AB75-DBDCD212501E}" name="Product" dataDxfId="14"/>
    <tableColumn id="6" xr3:uid="{D25C41B5-1025-4ED7-8907-D22ADF3B94E6}" name="Category" dataDxfId="13"/>
    <tableColumn id="7" xr3:uid="{7D21E024-1057-4F38-8D86-94C88BF8C6FB}" name="Quantity" dataDxfId="12"/>
    <tableColumn id="8" xr3:uid="{07DB33D3-A2CF-4EB1-8F69-00496176A2B0}" name="Price" dataDxfId="11"/>
    <tableColumn id="9" xr3:uid="{2655CA91-F688-4FCE-954D-BD7F54FAE224}" name="Sales" dataDxfId="10">
      <calculatedColumnFormula>G2*H2</calculatedColumnFormula>
    </tableColumn>
    <tableColumn id="10" xr3:uid="{3D20F8F9-F938-4F79-B23E-4EBE2AF3A539}" name="Year" dataDxfId="9">
      <calculatedColumnFormula>IF(B2="","Unknown",YEAR(B2))</calculatedColumnFormula>
    </tableColumn>
    <tableColumn id="11" xr3:uid="{92804E7A-D504-4C10-A16E-C9006098DF71}" name="Month" dataDxfId="8">
      <calculatedColumnFormula>IF(B2="","Unknown",TEXT(B2,"mmmm"))</calculatedColumnFormula>
    </tableColumn>
    <tableColumn id="12" xr3:uid="{697C858B-4704-423E-B3F1-15F8C94A4637}" name="Quarter" dataDxfId="7">
      <calculatedColumnFormula>IF(B2="","Unknown","Q"&amp;ROUNDUP(MONTH(B2)/3,0))</calculatedColumnFormula>
    </tableColumn>
    <tableColumn id="13" xr3:uid="{718F0334-0CD5-41BB-A679-0FB896641531}" name="Data_Quality_Flag" dataDxfId="6"/>
    <tableColumn id="14" xr3:uid="{6DDC36AC-F222-4F31-80B0-3705AA595B45}" name="Quantity_Flag" dataDxfId="5"/>
    <tableColumn id="15" xr3:uid="{6C34E12B-3130-4844-AA99-62BB1059F9D3}" name="Price_Flag" dataDxfId="4"/>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1C717-28C2-4B86-B9E1-515C945149FF}">
  <dimension ref="A1:J250"/>
  <sheetViews>
    <sheetView tabSelected="1" workbookViewId="0">
      <selection activeCell="M12" sqref="M12"/>
    </sheetView>
  </sheetViews>
  <sheetFormatPr defaultRowHeight="14.5" x14ac:dyDescent="0.35"/>
  <cols>
    <col min="1" max="1" width="10.54296875" customWidth="1"/>
    <col min="2" max="2" width="13.1796875" customWidth="1"/>
    <col min="3" max="3" width="20.90625" customWidth="1"/>
    <col min="5" max="5" width="11.08984375" bestFit="1" customWidth="1"/>
    <col min="6" max="6" width="10.453125" bestFit="1" customWidth="1"/>
    <col min="7" max="7" width="8.36328125" bestFit="1" customWidth="1"/>
    <col min="8" max="8" width="11.6328125" bestFit="1" customWidth="1"/>
    <col min="9" max="9" width="7" bestFit="1" customWidth="1"/>
  </cols>
  <sheetData>
    <row r="1" spans="1:10" x14ac:dyDescent="0.35">
      <c r="A1" s="1" t="s">
        <v>0</v>
      </c>
      <c r="B1" s="1" t="s">
        <v>1</v>
      </c>
      <c r="C1" s="1" t="s">
        <v>2</v>
      </c>
      <c r="D1" s="1" t="s">
        <v>3</v>
      </c>
      <c r="E1" s="1" t="s">
        <v>4</v>
      </c>
      <c r="F1" s="1" t="s">
        <v>5</v>
      </c>
      <c r="G1" s="1" t="s">
        <v>6</v>
      </c>
      <c r="H1" s="1" t="s">
        <v>7</v>
      </c>
      <c r="I1" s="1" t="s">
        <v>8</v>
      </c>
      <c r="J1" s="32"/>
    </row>
    <row r="2" spans="1:10" x14ac:dyDescent="0.35">
      <c r="A2">
        <v>1</v>
      </c>
      <c r="B2" t="s">
        <v>104</v>
      </c>
      <c r="C2" t="s">
        <v>9</v>
      </c>
      <c r="D2" t="s">
        <v>59</v>
      </c>
      <c r="E2" t="s">
        <v>62</v>
      </c>
      <c r="F2" t="s">
        <v>67</v>
      </c>
      <c r="G2">
        <v>3</v>
      </c>
      <c r="H2" s="3">
        <v>10000</v>
      </c>
    </row>
    <row r="3" spans="1:10" x14ac:dyDescent="0.35">
      <c r="A3">
        <v>2</v>
      </c>
      <c r="B3" t="s">
        <v>105</v>
      </c>
      <c r="C3" t="s">
        <v>10</v>
      </c>
      <c r="D3" t="s">
        <v>59</v>
      </c>
      <c r="F3" t="s">
        <v>68</v>
      </c>
      <c r="G3">
        <v>4</v>
      </c>
      <c r="H3">
        <v>5000</v>
      </c>
      <c r="I3">
        <v>20000</v>
      </c>
    </row>
    <row r="4" spans="1:10" x14ac:dyDescent="0.35">
      <c r="A4">
        <v>3</v>
      </c>
      <c r="B4" t="s">
        <v>106</v>
      </c>
      <c r="C4" t="s">
        <v>11</v>
      </c>
      <c r="D4" t="s">
        <v>59</v>
      </c>
      <c r="F4" t="s">
        <v>68</v>
      </c>
      <c r="G4">
        <v>3</v>
      </c>
      <c r="H4">
        <v>1000</v>
      </c>
      <c r="I4">
        <v>3000</v>
      </c>
    </row>
    <row r="5" spans="1:10" x14ac:dyDescent="0.35">
      <c r="A5">
        <v>4</v>
      </c>
      <c r="B5" t="s">
        <v>107</v>
      </c>
      <c r="C5" t="s">
        <v>12</v>
      </c>
      <c r="D5" t="s">
        <v>108</v>
      </c>
      <c r="E5" t="s">
        <v>62</v>
      </c>
      <c r="G5">
        <v>3</v>
      </c>
    </row>
    <row r="6" spans="1:10" x14ac:dyDescent="0.35">
      <c r="A6">
        <v>5</v>
      </c>
      <c r="B6" t="s">
        <v>109</v>
      </c>
      <c r="C6" t="s">
        <v>13</v>
      </c>
      <c r="E6" t="s">
        <v>110</v>
      </c>
      <c r="F6" t="s">
        <v>67</v>
      </c>
      <c r="G6">
        <v>2</v>
      </c>
    </row>
    <row r="7" spans="1:10" x14ac:dyDescent="0.35">
      <c r="A7">
        <v>6</v>
      </c>
      <c r="B7" t="s">
        <v>111</v>
      </c>
      <c r="C7" t="s">
        <v>14</v>
      </c>
      <c r="D7" t="s">
        <v>108</v>
      </c>
      <c r="E7" t="s">
        <v>63</v>
      </c>
      <c r="F7" t="s">
        <v>67</v>
      </c>
      <c r="H7">
        <v>30000</v>
      </c>
    </row>
    <row r="8" spans="1:10" x14ac:dyDescent="0.35">
      <c r="A8">
        <v>7</v>
      </c>
      <c r="C8" t="s">
        <v>13</v>
      </c>
      <c r="D8" t="s">
        <v>72</v>
      </c>
      <c r="E8" t="s">
        <v>110</v>
      </c>
      <c r="H8" s="3">
        <v>10000</v>
      </c>
    </row>
    <row r="9" spans="1:10" x14ac:dyDescent="0.35">
      <c r="A9">
        <v>8</v>
      </c>
      <c r="B9" t="s">
        <v>112</v>
      </c>
      <c r="C9" t="s">
        <v>15</v>
      </c>
      <c r="D9" t="s">
        <v>60</v>
      </c>
      <c r="E9" t="s">
        <v>64</v>
      </c>
      <c r="F9" t="s">
        <v>68</v>
      </c>
      <c r="H9" s="3">
        <v>10000</v>
      </c>
    </row>
    <row r="10" spans="1:10" x14ac:dyDescent="0.35">
      <c r="A10">
        <v>9</v>
      </c>
      <c r="B10" t="s">
        <v>113</v>
      </c>
      <c r="C10" t="s">
        <v>16</v>
      </c>
      <c r="H10">
        <v>5000</v>
      </c>
    </row>
    <row r="11" spans="1:10" x14ac:dyDescent="0.35">
      <c r="A11">
        <v>10</v>
      </c>
      <c r="B11" t="s">
        <v>114</v>
      </c>
      <c r="C11" t="s">
        <v>17</v>
      </c>
      <c r="D11" t="s">
        <v>59</v>
      </c>
      <c r="E11" t="s">
        <v>65</v>
      </c>
      <c r="F11" t="s">
        <v>68</v>
      </c>
      <c r="G11">
        <v>5</v>
      </c>
      <c r="J11" t="s">
        <v>74</v>
      </c>
    </row>
    <row r="12" spans="1:10" x14ac:dyDescent="0.35">
      <c r="A12">
        <v>11</v>
      </c>
      <c r="C12" t="s">
        <v>18</v>
      </c>
      <c r="D12" t="s">
        <v>108</v>
      </c>
      <c r="E12" t="s">
        <v>110</v>
      </c>
      <c r="F12" t="s">
        <v>67</v>
      </c>
      <c r="G12">
        <v>4</v>
      </c>
      <c r="H12">
        <v>1000</v>
      </c>
      <c r="I12">
        <v>4000</v>
      </c>
    </row>
    <row r="13" spans="1:10" x14ac:dyDescent="0.35">
      <c r="A13">
        <v>12</v>
      </c>
      <c r="B13" t="s">
        <v>115</v>
      </c>
      <c r="C13" t="s">
        <v>19</v>
      </c>
      <c r="D13" t="s">
        <v>59</v>
      </c>
      <c r="E13" t="s">
        <v>66</v>
      </c>
      <c r="F13" t="s">
        <v>67</v>
      </c>
      <c r="H13">
        <v>1000</v>
      </c>
    </row>
    <row r="14" spans="1:10" x14ac:dyDescent="0.35">
      <c r="A14">
        <v>13</v>
      </c>
      <c r="C14" t="s">
        <v>20</v>
      </c>
      <c r="D14" t="s">
        <v>60</v>
      </c>
      <c r="E14" t="s">
        <v>63</v>
      </c>
      <c r="G14">
        <v>3</v>
      </c>
      <c r="H14">
        <v>30000</v>
      </c>
      <c r="I14">
        <v>90000</v>
      </c>
    </row>
    <row r="15" spans="1:10" x14ac:dyDescent="0.35">
      <c r="A15">
        <v>14</v>
      </c>
      <c r="B15" t="s">
        <v>116</v>
      </c>
      <c r="D15" t="s">
        <v>61</v>
      </c>
      <c r="E15" t="s">
        <v>65</v>
      </c>
      <c r="F15" t="s">
        <v>68</v>
      </c>
      <c r="G15">
        <v>5</v>
      </c>
    </row>
    <row r="16" spans="1:10" x14ac:dyDescent="0.35">
      <c r="A16">
        <v>15</v>
      </c>
      <c r="B16" t="s">
        <v>117</v>
      </c>
      <c r="C16" t="s">
        <v>22</v>
      </c>
      <c r="D16" t="s">
        <v>59</v>
      </c>
      <c r="E16" t="s">
        <v>110</v>
      </c>
      <c r="F16" t="s">
        <v>68</v>
      </c>
      <c r="G16">
        <v>5</v>
      </c>
      <c r="H16">
        <v>20000</v>
      </c>
      <c r="I16">
        <v>100000</v>
      </c>
    </row>
    <row r="17" spans="1:9" x14ac:dyDescent="0.35">
      <c r="A17">
        <v>16</v>
      </c>
      <c r="C17" t="s">
        <v>22</v>
      </c>
      <c r="D17" t="s">
        <v>61</v>
      </c>
      <c r="E17" t="s">
        <v>110</v>
      </c>
      <c r="F17" t="s">
        <v>67</v>
      </c>
      <c r="G17">
        <v>2</v>
      </c>
    </row>
    <row r="18" spans="1:9" x14ac:dyDescent="0.35">
      <c r="A18">
        <v>18</v>
      </c>
      <c r="B18" t="s">
        <v>118</v>
      </c>
      <c r="C18" t="s">
        <v>15</v>
      </c>
      <c r="E18" t="s">
        <v>65</v>
      </c>
      <c r="G18">
        <v>3</v>
      </c>
      <c r="H18">
        <v>1000</v>
      </c>
      <c r="I18">
        <v>3000</v>
      </c>
    </row>
    <row r="19" spans="1:9" x14ac:dyDescent="0.35">
      <c r="A19">
        <v>19</v>
      </c>
      <c r="B19" t="s">
        <v>119</v>
      </c>
      <c r="D19" t="s">
        <v>108</v>
      </c>
      <c r="E19" t="s">
        <v>64</v>
      </c>
      <c r="F19" t="s">
        <v>67</v>
      </c>
      <c r="G19">
        <v>1</v>
      </c>
      <c r="H19" s="3">
        <v>10000</v>
      </c>
    </row>
    <row r="20" spans="1:9" x14ac:dyDescent="0.35">
      <c r="A20">
        <v>20</v>
      </c>
      <c r="C20" t="s">
        <v>17</v>
      </c>
      <c r="D20" t="s">
        <v>108</v>
      </c>
      <c r="E20" t="s">
        <v>62</v>
      </c>
      <c r="G20">
        <v>1</v>
      </c>
      <c r="H20">
        <v>5000</v>
      </c>
      <c r="I20">
        <v>5000</v>
      </c>
    </row>
    <row r="21" spans="1:9" x14ac:dyDescent="0.35">
      <c r="A21">
        <v>21</v>
      </c>
      <c r="C21" t="s">
        <v>23</v>
      </c>
      <c r="E21" t="s">
        <v>64</v>
      </c>
      <c r="F21" t="s">
        <v>67</v>
      </c>
      <c r="H21">
        <v>1000</v>
      </c>
    </row>
    <row r="22" spans="1:9" x14ac:dyDescent="0.35">
      <c r="A22">
        <v>22</v>
      </c>
      <c r="B22" t="s">
        <v>120</v>
      </c>
      <c r="C22" t="s">
        <v>24</v>
      </c>
      <c r="G22">
        <v>2</v>
      </c>
      <c r="H22">
        <v>20000</v>
      </c>
      <c r="I22">
        <v>40000</v>
      </c>
    </row>
    <row r="23" spans="1:9" x14ac:dyDescent="0.35">
      <c r="A23">
        <v>23</v>
      </c>
      <c r="B23" t="s">
        <v>121</v>
      </c>
      <c r="D23" t="s">
        <v>108</v>
      </c>
      <c r="E23" t="s">
        <v>65</v>
      </c>
      <c r="F23" t="s">
        <v>67</v>
      </c>
      <c r="G23">
        <v>1</v>
      </c>
    </row>
    <row r="24" spans="1:9" x14ac:dyDescent="0.35">
      <c r="A24">
        <v>24</v>
      </c>
      <c r="B24" t="s">
        <v>122</v>
      </c>
      <c r="C24" t="s">
        <v>25</v>
      </c>
      <c r="D24" t="s">
        <v>59</v>
      </c>
      <c r="H24" s="3">
        <v>10000</v>
      </c>
    </row>
    <row r="25" spans="1:9" x14ac:dyDescent="0.35">
      <c r="A25">
        <v>25</v>
      </c>
      <c r="B25" t="s">
        <v>123</v>
      </c>
      <c r="C25" t="s">
        <v>26</v>
      </c>
      <c r="D25" t="s">
        <v>108</v>
      </c>
      <c r="E25" t="s">
        <v>66</v>
      </c>
      <c r="F25" t="s">
        <v>68</v>
      </c>
      <c r="G25">
        <v>2</v>
      </c>
      <c r="H25">
        <v>1000</v>
      </c>
      <c r="I25">
        <v>2000</v>
      </c>
    </row>
    <row r="26" spans="1:9" x14ac:dyDescent="0.35">
      <c r="A26">
        <v>26</v>
      </c>
      <c r="B26" t="s">
        <v>124</v>
      </c>
      <c r="C26" t="s">
        <v>23</v>
      </c>
      <c r="D26" t="s">
        <v>59</v>
      </c>
      <c r="E26" t="s">
        <v>66</v>
      </c>
      <c r="F26" t="s">
        <v>68</v>
      </c>
      <c r="H26">
        <v>20000</v>
      </c>
    </row>
    <row r="27" spans="1:9" x14ac:dyDescent="0.35">
      <c r="A27">
        <v>27</v>
      </c>
      <c r="B27" t="s">
        <v>125</v>
      </c>
      <c r="C27" t="s">
        <v>27</v>
      </c>
      <c r="D27" t="s">
        <v>72</v>
      </c>
      <c r="E27" t="s">
        <v>63</v>
      </c>
      <c r="F27" t="s">
        <v>67</v>
      </c>
      <c r="G27">
        <v>2</v>
      </c>
    </row>
    <row r="28" spans="1:9" x14ac:dyDescent="0.35">
      <c r="A28">
        <v>28</v>
      </c>
      <c r="B28" t="s">
        <v>126</v>
      </c>
      <c r="C28" t="s">
        <v>9</v>
      </c>
      <c r="D28" t="s">
        <v>60</v>
      </c>
      <c r="E28" t="s">
        <v>63</v>
      </c>
      <c r="F28" t="s">
        <v>68</v>
      </c>
      <c r="G28">
        <v>2</v>
      </c>
    </row>
    <row r="29" spans="1:9" x14ac:dyDescent="0.35">
      <c r="A29">
        <v>29</v>
      </c>
      <c r="B29" t="s">
        <v>127</v>
      </c>
      <c r="C29" t="s">
        <v>27</v>
      </c>
      <c r="D29" t="s">
        <v>72</v>
      </c>
      <c r="E29" t="s">
        <v>62</v>
      </c>
      <c r="F29" t="s">
        <v>67</v>
      </c>
      <c r="H29">
        <v>5000</v>
      </c>
    </row>
    <row r="30" spans="1:9" x14ac:dyDescent="0.35">
      <c r="A30">
        <v>30</v>
      </c>
      <c r="B30" t="s">
        <v>128</v>
      </c>
      <c r="C30" t="s">
        <v>28</v>
      </c>
      <c r="D30" t="s">
        <v>72</v>
      </c>
      <c r="E30" t="s">
        <v>110</v>
      </c>
      <c r="F30" t="s">
        <v>67</v>
      </c>
      <c r="G30">
        <v>2</v>
      </c>
    </row>
    <row r="31" spans="1:9" x14ac:dyDescent="0.35">
      <c r="A31">
        <v>31</v>
      </c>
      <c r="B31" t="s">
        <v>129</v>
      </c>
      <c r="D31" t="s">
        <v>61</v>
      </c>
      <c r="F31" t="s">
        <v>67</v>
      </c>
      <c r="H31">
        <v>30000</v>
      </c>
    </row>
    <row r="32" spans="1:9" x14ac:dyDescent="0.35">
      <c r="A32">
        <v>32</v>
      </c>
      <c r="B32" t="s">
        <v>130</v>
      </c>
      <c r="C32" t="s">
        <v>29</v>
      </c>
      <c r="D32" t="s">
        <v>108</v>
      </c>
      <c r="E32" t="s">
        <v>65</v>
      </c>
      <c r="F32" t="s">
        <v>67</v>
      </c>
      <c r="G32">
        <v>4</v>
      </c>
    </row>
    <row r="33" spans="1:9" x14ac:dyDescent="0.35">
      <c r="A33">
        <v>33</v>
      </c>
      <c r="B33" t="s">
        <v>131</v>
      </c>
      <c r="C33" t="s">
        <v>26</v>
      </c>
      <c r="D33" t="s">
        <v>72</v>
      </c>
      <c r="E33" t="s">
        <v>66</v>
      </c>
      <c r="F33" t="s">
        <v>67</v>
      </c>
    </row>
    <row r="34" spans="1:9" x14ac:dyDescent="0.35">
      <c r="A34">
        <v>34</v>
      </c>
      <c r="B34" t="s">
        <v>132</v>
      </c>
      <c r="C34" t="s">
        <v>10</v>
      </c>
      <c r="E34" t="s">
        <v>64</v>
      </c>
    </row>
    <row r="35" spans="1:9" x14ac:dyDescent="0.35">
      <c r="A35">
        <v>35</v>
      </c>
      <c r="B35" t="s">
        <v>133</v>
      </c>
      <c r="C35" t="s">
        <v>30</v>
      </c>
      <c r="D35" t="s">
        <v>59</v>
      </c>
      <c r="E35" t="s">
        <v>64</v>
      </c>
      <c r="F35" t="s">
        <v>67</v>
      </c>
      <c r="G35">
        <v>1</v>
      </c>
      <c r="H35">
        <v>1000</v>
      </c>
      <c r="I35">
        <v>1000</v>
      </c>
    </row>
    <row r="36" spans="1:9" x14ac:dyDescent="0.35">
      <c r="A36">
        <v>36</v>
      </c>
      <c r="B36" t="s">
        <v>134</v>
      </c>
      <c r="E36" t="s">
        <v>62</v>
      </c>
      <c r="F36" t="s">
        <v>68</v>
      </c>
      <c r="G36">
        <v>3</v>
      </c>
      <c r="H36">
        <v>1000</v>
      </c>
      <c r="I36">
        <v>3000</v>
      </c>
    </row>
    <row r="37" spans="1:9" x14ac:dyDescent="0.35">
      <c r="A37">
        <v>37</v>
      </c>
      <c r="B37" t="s">
        <v>135</v>
      </c>
      <c r="C37" t="s">
        <v>31</v>
      </c>
      <c r="D37" t="s">
        <v>72</v>
      </c>
      <c r="E37" t="s">
        <v>62</v>
      </c>
      <c r="G37">
        <v>4</v>
      </c>
      <c r="H37" s="3">
        <v>10000</v>
      </c>
    </row>
    <row r="38" spans="1:9" x14ac:dyDescent="0.35">
      <c r="A38">
        <v>38</v>
      </c>
      <c r="B38" t="s">
        <v>136</v>
      </c>
      <c r="C38" t="s">
        <v>25</v>
      </c>
      <c r="D38" t="s">
        <v>61</v>
      </c>
      <c r="E38" t="s">
        <v>65</v>
      </c>
      <c r="F38" t="s">
        <v>67</v>
      </c>
      <c r="G38">
        <v>2</v>
      </c>
    </row>
    <row r="39" spans="1:9" x14ac:dyDescent="0.35">
      <c r="A39">
        <v>39</v>
      </c>
      <c r="B39" t="s">
        <v>137</v>
      </c>
      <c r="C39" t="s">
        <v>13</v>
      </c>
      <c r="D39" t="s">
        <v>61</v>
      </c>
      <c r="F39" t="s">
        <v>67</v>
      </c>
      <c r="H39">
        <v>30000</v>
      </c>
    </row>
    <row r="40" spans="1:9" x14ac:dyDescent="0.35">
      <c r="A40">
        <v>40</v>
      </c>
      <c r="B40" t="s">
        <v>138</v>
      </c>
      <c r="C40" t="s">
        <v>31</v>
      </c>
      <c r="D40" t="s">
        <v>59</v>
      </c>
      <c r="E40" t="s">
        <v>63</v>
      </c>
      <c r="F40" t="s">
        <v>67</v>
      </c>
    </row>
    <row r="41" spans="1:9" x14ac:dyDescent="0.35">
      <c r="A41">
        <v>41</v>
      </c>
      <c r="B41" t="s">
        <v>139</v>
      </c>
      <c r="C41" t="s">
        <v>11</v>
      </c>
      <c r="D41" t="s">
        <v>60</v>
      </c>
      <c r="E41" t="s">
        <v>66</v>
      </c>
      <c r="H41" s="3">
        <v>10000</v>
      </c>
    </row>
    <row r="42" spans="1:9" x14ac:dyDescent="0.35">
      <c r="A42">
        <v>42</v>
      </c>
      <c r="B42" t="s">
        <v>132</v>
      </c>
      <c r="C42" t="s">
        <v>26</v>
      </c>
      <c r="D42" t="s">
        <v>72</v>
      </c>
      <c r="F42" t="s">
        <v>67</v>
      </c>
      <c r="G42">
        <v>2</v>
      </c>
    </row>
    <row r="43" spans="1:9" x14ac:dyDescent="0.35">
      <c r="A43">
        <v>43</v>
      </c>
      <c r="B43" t="s">
        <v>140</v>
      </c>
      <c r="C43" t="s">
        <v>32</v>
      </c>
      <c r="E43" t="s">
        <v>65</v>
      </c>
      <c r="F43" t="s">
        <v>67</v>
      </c>
      <c r="G43">
        <v>2</v>
      </c>
      <c r="H43">
        <v>5000</v>
      </c>
    </row>
    <row r="44" spans="1:9" x14ac:dyDescent="0.35">
      <c r="A44">
        <v>44</v>
      </c>
      <c r="B44" t="s">
        <v>141</v>
      </c>
      <c r="C44" t="s">
        <v>33</v>
      </c>
      <c r="E44" t="s">
        <v>110</v>
      </c>
      <c r="F44" t="s">
        <v>67</v>
      </c>
      <c r="G44">
        <v>3</v>
      </c>
      <c r="H44">
        <v>5000</v>
      </c>
      <c r="I44">
        <v>15000</v>
      </c>
    </row>
    <row r="45" spans="1:9" x14ac:dyDescent="0.35">
      <c r="A45">
        <v>45</v>
      </c>
      <c r="B45" t="s">
        <v>142</v>
      </c>
      <c r="C45" t="s">
        <v>12</v>
      </c>
      <c r="D45" t="s">
        <v>72</v>
      </c>
      <c r="E45" t="s">
        <v>62</v>
      </c>
      <c r="F45" t="s">
        <v>67</v>
      </c>
      <c r="H45">
        <v>5000</v>
      </c>
    </row>
    <row r="46" spans="1:9" x14ac:dyDescent="0.35">
      <c r="A46">
        <v>46</v>
      </c>
      <c r="B46" t="s">
        <v>127</v>
      </c>
      <c r="C46" t="s">
        <v>34</v>
      </c>
      <c r="D46" t="s">
        <v>61</v>
      </c>
      <c r="E46" t="s">
        <v>66</v>
      </c>
      <c r="G46">
        <v>5</v>
      </c>
      <c r="H46">
        <v>20000</v>
      </c>
      <c r="I46">
        <v>100000</v>
      </c>
    </row>
    <row r="47" spans="1:9" x14ac:dyDescent="0.35">
      <c r="A47">
        <v>47</v>
      </c>
      <c r="B47" t="s">
        <v>143</v>
      </c>
      <c r="C47" t="s">
        <v>35</v>
      </c>
      <c r="D47" t="s">
        <v>60</v>
      </c>
      <c r="E47" t="s">
        <v>65</v>
      </c>
      <c r="F47" t="s">
        <v>68</v>
      </c>
      <c r="G47">
        <v>3</v>
      </c>
    </row>
    <row r="48" spans="1:9" x14ac:dyDescent="0.35">
      <c r="A48">
        <v>48</v>
      </c>
      <c r="B48" t="s">
        <v>144</v>
      </c>
      <c r="C48" t="s">
        <v>36</v>
      </c>
      <c r="D48" t="s">
        <v>72</v>
      </c>
      <c r="E48" t="s">
        <v>66</v>
      </c>
      <c r="F48" t="s">
        <v>68</v>
      </c>
      <c r="G48">
        <v>5</v>
      </c>
    </row>
    <row r="49" spans="1:9" x14ac:dyDescent="0.35">
      <c r="A49">
        <v>49</v>
      </c>
      <c r="B49" t="s">
        <v>145</v>
      </c>
      <c r="C49" t="s">
        <v>37</v>
      </c>
      <c r="E49" t="s">
        <v>65</v>
      </c>
      <c r="F49" t="s">
        <v>68</v>
      </c>
    </row>
    <row r="50" spans="1:9" x14ac:dyDescent="0.35">
      <c r="A50">
        <v>50</v>
      </c>
      <c r="B50" t="s">
        <v>146</v>
      </c>
      <c r="C50" t="s">
        <v>38</v>
      </c>
      <c r="D50" t="s">
        <v>59</v>
      </c>
      <c r="E50" t="s">
        <v>64</v>
      </c>
      <c r="F50" t="s">
        <v>67</v>
      </c>
      <c r="G50">
        <v>1</v>
      </c>
    </row>
    <row r="51" spans="1:9" x14ac:dyDescent="0.35">
      <c r="A51">
        <v>51</v>
      </c>
      <c r="B51" t="s">
        <v>147</v>
      </c>
      <c r="C51" t="s">
        <v>39</v>
      </c>
      <c r="D51" t="s">
        <v>108</v>
      </c>
      <c r="G51">
        <v>3</v>
      </c>
      <c r="H51">
        <v>1000</v>
      </c>
      <c r="I51">
        <v>3000</v>
      </c>
    </row>
    <row r="52" spans="1:9" x14ac:dyDescent="0.35">
      <c r="A52">
        <v>52</v>
      </c>
      <c r="B52" t="s">
        <v>148</v>
      </c>
      <c r="C52" t="s">
        <v>34</v>
      </c>
      <c r="D52" t="s">
        <v>72</v>
      </c>
      <c r="E52" t="s">
        <v>64</v>
      </c>
      <c r="F52" t="s">
        <v>67</v>
      </c>
      <c r="G52">
        <v>5</v>
      </c>
      <c r="H52">
        <v>1000</v>
      </c>
      <c r="I52">
        <v>5000</v>
      </c>
    </row>
    <row r="53" spans="1:9" x14ac:dyDescent="0.35">
      <c r="A53">
        <v>53</v>
      </c>
      <c r="B53" t="s">
        <v>149</v>
      </c>
      <c r="D53" t="s">
        <v>60</v>
      </c>
      <c r="G53">
        <v>1</v>
      </c>
      <c r="H53" s="3">
        <v>10000</v>
      </c>
    </row>
    <row r="54" spans="1:9" x14ac:dyDescent="0.35">
      <c r="A54">
        <v>54</v>
      </c>
      <c r="B54" t="s">
        <v>128</v>
      </c>
      <c r="C54" t="s">
        <v>40</v>
      </c>
      <c r="D54" t="s">
        <v>60</v>
      </c>
      <c r="F54" t="s">
        <v>68</v>
      </c>
      <c r="G54">
        <v>1</v>
      </c>
    </row>
    <row r="55" spans="1:9" x14ac:dyDescent="0.35">
      <c r="A55">
        <v>55</v>
      </c>
      <c r="B55" t="s">
        <v>150</v>
      </c>
      <c r="C55" t="s">
        <v>29</v>
      </c>
      <c r="D55" t="s">
        <v>59</v>
      </c>
      <c r="E55" t="s">
        <v>64</v>
      </c>
      <c r="F55" t="s">
        <v>67</v>
      </c>
      <c r="G55">
        <v>2</v>
      </c>
      <c r="H55">
        <v>30000</v>
      </c>
    </row>
    <row r="56" spans="1:9" x14ac:dyDescent="0.35">
      <c r="A56">
        <v>56</v>
      </c>
      <c r="B56" t="s">
        <v>151</v>
      </c>
      <c r="C56" t="s">
        <v>26</v>
      </c>
      <c r="D56" t="s">
        <v>59</v>
      </c>
      <c r="E56" t="s">
        <v>66</v>
      </c>
      <c r="F56" t="s">
        <v>68</v>
      </c>
      <c r="H56">
        <v>1000</v>
      </c>
    </row>
    <row r="57" spans="1:9" x14ac:dyDescent="0.35">
      <c r="A57">
        <v>57</v>
      </c>
      <c r="B57" t="s">
        <v>152</v>
      </c>
      <c r="C57" t="s">
        <v>41</v>
      </c>
      <c r="D57" t="s">
        <v>72</v>
      </c>
      <c r="E57" t="s">
        <v>110</v>
      </c>
      <c r="F57" t="s">
        <v>68</v>
      </c>
      <c r="G57">
        <v>2</v>
      </c>
      <c r="H57">
        <v>30000</v>
      </c>
      <c r="I57">
        <v>60000</v>
      </c>
    </row>
    <row r="58" spans="1:9" x14ac:dyDescent="0.35">
      <c r="A58">
        <v>58</v>
      </c>
      <c r="B58" t="s">
        <v>153</v>
      </c>
      <c r="C58" t="s">
        <v>42</v>
      </c>
      <c r="D58" t="s">
        <v>108</v>
      </c>
      <c r="F58" t="s">
        <v>68</v>
      </c>
      <c r="G58">
        <v>1</v>
      </c>
      <c r="H58">
        <v>5000</v>
      </c>
      <c r="I58">
        <v>5000</v>
      </c>
    </row>
    <row r="59" spans="1:9" x14ac:dyDescent="0.35">
      <c r="A59">
        <v>59</v>
      </c>
      <c r="B59" t="s">
        <v>127</v>
      </c>
      <c r="C59" t="s">
        <v>43</v>
      </c>
      <c r="D59" t="s">
        <v>59</v>
      </c>
      <c r="E59" t="s">
        <v>65</v>
      </c>
      <c r="G59">
        <v>5</v>
      </c>
    </row>
    <row r="60" spans="1:9" x14ac:dyDescent="0.35">
      <c r="A60">
        <v>60</v>
      </c>
      <c r="B60" t="s">
        <v>154</v>
      </c>
      <c r="C60" t="s">
        <v>44</v>
      </c>
      <c r="D60" t="s">
        <v>59</v>
      </c>
      <c r="E60" t="s">
        <v>110</v>
      </c>
      <c r="F60" t="s">
        <v>67</v>
      </c>
      <c r="G60">
        <v>4</v>
      </c>
      <c r="H60">
        <v>5000</v>
      </c>
      <c r="I60">
        <v>20000</v>
      </c>
    </row>
    <row r="61" spans="1:9" x14ac:dyDescent="0.35">
      <c r="A61">
        <v>61</v>
      </c>
      <c r="B61" t="s">
        <v>155</v>
      </c>
      <c r="C61" t="s">
        <v>45</v>
      </c>
      <c r="D61" t="s">
        <v>59</v>
      </c>
      <c r="E61" t="s">
        <v>62</v>
      </c>
      <c r="F61" t="s">
        <v>68</v>
      </c>
      <c r="G61">
        <v>2</v>
      </c>
      <c r="H61">
        <v>30000</v>
      </c>
      <c r="I61">
        <v>60000</v>
      </c>
    </row>
    <row r="62" spans="1:9" x14ac:dyDescent="0.35">
      <c r="A62">
        <v>62</v>
      </c>
      <c r="B62" t="s">
        <v>156</v>
      </c>
      <c r="C62" t="s">
        <v>42</v>
      </c>
      <c r="D62" t="s">
        <v>59</v>
      </c>
      <c r="E62" t="s">
        <v>63</v>
      </c>
      <c r="G62">
        <v>4</v>
      </c>
      <c r="H62" s="3">
        <v>10000</v>
      </c>
    </row>
    <row r="63" spans="1:9" x14ac:dyDescent="0.35">
      <c r="A63">
        <v>63</v>
      </c>
      <c r="B63" t="s">
        <v>151</v>
      </c>
      <c r="C63" t="s">
        <v>35</v>
      </c>
      <c r="D63" t="s">
        <v>72</v>
      </c>
      <c r="E63" t="s">
        <v>62</v>
      </c>
      <c r="F63" t="s">
        <v>67</v>
      </c>
      <c r="G63">
        <v>4</v>
      </c>
      <c r="H63" s="3">
        <v>10000</v>
      </c>
    </row>
    <row r="64" spans="1:9" x14ac:dyDescent="0.35">
      <c r="A64">
        <v>64</v>
      </c>
      <c r="C64" t="s">
        <v>12</v>
      </c>
      <c r="D64" t="s">
        <v>59</v>
      </c>
      <c r="E64" t="s">
        <v>66</v>
      </c>
      <c r="H64">
        <v>20000</v>
      </c>
    </row>
    <row r="65" spans="1:9" x14ac:dyDescent="0.35">
      <c r="A65">
        <v>65</v>
      </c>
      <c r="B65" t="s">
        <v>157</v>
      </c>
      <c r="C65" t="s">
        <v>46</v>
      </c>
      <c r="E65" t="s">
        <v>65</v>
      </c>
      <c r="F65" t="s">
        <v>68</v>
      </c>
      <c r="G65">
        <v>5</v>
      </c>
    </row>
    <row r="66" spans="1:9" x14ac:dyDescent="0.35">
      <c r="A66">
        <v>66</v>
      </c>
      <c r="B66" t="s">
        <v>158</v>
      </c>
      <c r="C66" t="s">
        <v>34</v>
      </c>
      <c r="D66" t="s">
        <v>108</v>
      </c>
      <c r="E66" t="s">
        <v>110</v>
      </c>
      <c r="F66" t="s">
        <v>67</v>
      </c>
      <c r="G66">
        <v>3</v>
      </c>
      <c r="H66">
        <v>30000</v>
      </c>
      <c r="I66">
        <v>90000</v>
      </c>
    </row>
    <row r="67" spans="1:9" x14ac:dyDescent="0.35">
      <c r="A67">
        <v>67</v>
      </c>
      <c r="B67" t="s">
        <v>156</v>
      </c>
      <c r="C67" t="s">
        <v>18</v>
      </c>
      <c r="D67" t="s">
        <v>61</v>
      </c>
      <c r="E67" t="s">
        <v>64</v>
      </c>
      <c r="H67" s="3">
        <v>10000</v>
      </c>
    </row>
    <row r="68" spans="1:9" x14ac:dyDescent="0.35">
      <c r="A68">
        <v>68</v>
      </c>
      <c r="B68" t="s">
        <v>159</v>
      </c>
      <c r="C68" t="s">
        <v>44</v>
      </c>
      <c r="D68" t="s">
        <v>108</v>
      </c>
      <c r="E68" t="s">
        <v>66</v>
      </c>
      <c r="F68" t="s">
        <v>67</v>
      </c>
      <c r="H68">
        <v>20000</v>
      </c>
    </row>
    <row r="69" spans="1:9" x14ac:dyDescent="0.35">
      <c r="A69">
        <v>69</v>
      </c>
      <c r="B69" t="s">
        <v>109</v>
      </c>
      <c r="C69" t="s">
        <v>38</v>
      </c>
      <c r="D69" t="s">
        <v>59</v>
      </c>
      <c r="E69" t="s">
        <v>63</v>
      </c>
      <c r="F69" t="s">
        <v>67</v>
      </c>
      <c r="G69">
        <v>2</v>
      </c>
      <c r="H69">
        <v>20000</v>
      </c>
    </row>
    <row r="70" spans="1:9" x14ac:dyDescent="0.35">
      <c r="A70">
        <v>70</v>
      </c>
      <c r="B70" t="s">
        <v>160</v>
      </c>
      <c r="C70" t="s">
        <v>39</v>
      </c>
      <c r="D70" t="s">
        <v>59</v>
      </c>
      <c r="E70" t="s">
        <v>64</v>
      </c>
      <c r="G70">
        <v>4</v>
      </c>
      <c r="H70" s="3">
        <v>10000</v>
      </c>
    </row>
    <row r="71" spans="1:9" x14ac:dyDescent="0.35">
      <c r="A71">
        <v>71</v>
      </c>
      <c r="B71" t="s">
        <v>161</v>
      </c>
      <c r="C71" t="s">
        <v>37</v>
      </c>
      <c r="E71" t="s">
        <v>110</v>
      </c>
      <c r="F71" t="s">
        <v>68</v>
      </c>
      <c r="G71">
        <v>4</v>
      </c>
      <c r="H71">
        <v>20000</v>
      </c>
      <c r="I71">
        <v>80000</v>
      </c>
    </row>
    <row r="72" spans="1:9" x14ac:dyDescent="0.35">
      <c r="A72">
        <v>72</v>
      </c>
      <c r="B72" t="s">
        <v>162</v>
      </c>
      <c r="C72" t="s">
        <v>47</v>
      </c>
      <c r="D72" t="s">
        <v>59</v>
      </c>
      <c r="E72" t="s">
        <v>63</v>
      </c>
      <c r="F72" t="s">
        <v>67</v>
      </c>
      <c r="H72">
        <v>30000</v>
      </c>
    </row>
    <row r="73" spans="1:9" x14ac:dyDescent="0.35">
      <c r="A73">
        <v>73</v>
      </c>
      <c r="B73" t="s">
        <v>163</v>
      </c>
      <c r="C73" t="s">
        <v>10</v>
      </c>
      <c r="D73" t="s">
        <v>60</v>
      </c>
      <c r="E73" t="s">
        <v>65</v>
      </c>
      <c r="F73" t="s">
        <v>68</v>
      </c>
      <c r="G73">
        <v>3</v>
      </c>
      <c r="H73">
        <v>5000</v>
      </c>
      <c r="I73">
        <v>15000</v>
      </c>
    </row>
    <row r="74" spans="1:9" x14ac:dyDescent="0.35">
      <c r="A74">
        <v>74</v>
      </c>
      <c r="B74" t="s">
        <v>164</v>
      </c>
      <c r="C74" t="s">
        <v>22</v>
      </c>
      <c r="D74" t="s">
        <v>108</v>
      </c>
      <c r="F74" t="s">
        <v>68</v>
      </c>
      <c r="G74">
        <v>2</v>
      </c>
      <c r="H74" s="3">
        <v>10000</v>
      </c>
    </row>
    <row r="75" spans="1:9" x14ac:dyDescent="0.35">
      <c r="A75">
        <v>75</v>
      </c>
      <c r="B75" t="s">
        <v>146</v>
      </c>
      <c r="C75" t="s">
        <v>30</v>
      </c>
      <c r="D75" t="s">
        <v>61</v>
      </c>
      <c r="E75" t="s">
        <v>64</v>
      </c>
      <c r="F75" t="s">
        <v>67</v>
      </c>
      <c r="G75">
        <v>2</v>
      </c>
      <c r="H75">
        <v>30000</v>
      </c>
    </row>
    <row r="76" spans="1:9" x14ac:dyDescent="0.35">
      <c r="A76">
        <v>76</v>
      </c>
      <c r="B76" t="s">
        <v>165</v>
      </c>
      <c r="D76" t="s">
        <v>72</v>
      </c>
      <c r="E76" t="s">
        <v>65</v>
      </c>
      <c r="F76" t="s">
        <v>68</v>
      </c>
      <c r="G76">
        <v>5</v>
      </c>
      <c r="H76">
        <v>20000</v>
      </c>
      <c r="I76">
        <v>100000</v>
      </c>
    </row>
    <row r="77" spans="1:9" x14ac:dyDescent="0.35">
      <c r="A77">
        <v>77</v>
      </c>
      <c r="B77" t="s">
        <v>166</v>
      </c>
      <c r="C77" t="s">
        <v>48</v>
      </c>
      <c r="D77" t="s">
        <v>59</v>
      </c>
      <c r="E77" t="s">
        <v>64</v>
      </c>
      <c r="F77" t="s">
        <v>68</v>
      </c>
      <c r="G77">
        <v>5</v>
      </c>
      <c r="H77">
        <v>30000</v>
      </c>
      <c r="I77">
        <v>150000</v>
      </c>
    </row>
    <row r="78" spans="1:9" x14ac:dyDescent="0.35">
      <c r="A78">
        <v>78</v>
      </c>
      <c r="B78" t="s">
        <v>163</v>
      </c>
      <c r="C78" t="s">
        <v>49</v>
      </c>
      <c r="D78" t="s">
        <v>59</v>
      </c>
      <c r="E78" t="s">
        <v>62</v>
      </c>
      <c r="F78" t="s">
        <v>67</v>
      </c>
      <c r="G78">
        <v>2</v>
      </c>
      <c r="H78" s="3">
        <v>10000</v>
      </c>
    </row>
    <row r="79" spans="1:9" x14ac:dyDescent="0.35">
      <c r="A79">
        <v>79</v>
      </c>
      <c r="B79" t="s">
        <v>167</v>
      </c>
      <c r="C79" t="s">
        <v>33</v>
      </c>
      <c r="D79" t="s">
        <v>61</v>
      </c>
      <c r="E79" t="s">
        <v>65</v>
      </c>
      <c r="H79">
        <v>5000</v>
      </c>
    </row>
    <row r="80" spans="1:9" x14ac:dyDescent="0.35">
      <c r="A80">
        <v>80</v>
      </c>
      <c r="B80" t="s">
        <v>168</v>
      </c>
      <c r="C80" t="s">
        <v>23</v>
      </c>
      <c r="D80" t="s">
        <v>61</v>
      </c>
      <c r="E80" t="s">
        <v>64</v>
      </c>
      <c r="F80" t="s">
        <v>67</v>
      </c>
      <c r="H80" s="3">
        <v>10000</v>
      </c>
    </row>
    <row r="81" spans="1:9" x14ac:dyDescent="0.35">
      <c r="A81">
        <v>81</v>
      </c>
      <c r="B81" t="s">
        <v>169</v>
      </c>
      <c r="C81" t="s">
        <v>50</v>
      </c>
      <c r="D81" t="s">
        <v>59</v>
      </c>
      <c r="G81">
        <v>5</v>
      </c>
      <c r="H81" s="3">
        <v>10000</v>
      </c>
    </row>
    <row r="82" spans="1:9" x14ac:dyDescent="0.35">
      <c r="A82">
        <v>82</v>
      </c>
      <c r="B82" t="s">
        <v>140</v>
      </c>
      <c r="C82" t="s">
        <v>15</v>
      </c>
      <c r="D82" t="s">
        <v>60</v>
      </c>
      <c r="E82" t="s">
        <v>63</v>
      </c>
      <c r="F82" t="s">
        <v>67</v>
      </c>
      <c r="G82">
        <v>2</v>
      </c>
      <c r="H82">
        <v>5000</v>
      </c>
    </row>
    <row r="83" spans="1:9" x14ac:dyDescent="0.35">
      <c r="A83">
        <v>83</v>
      </c>
      <c r="B83" t="s">
        <v>148</v>
      </c>
      <c r="C83" t="s">
        <v>51</v>
      </c>
      <c r="D83" t="s">
        <v>59</v>
      </c>
      <c r="E83" t="s">
        <v>65</v>
      </c>
      <c r="F83" t="s">
        <v>67</v>
      </c>
    </row>
    <row r="84" spans="1:9" x14ac:dyDescent="0.35">
      <c r="A84">
        <v>84</v>
      </c>
      <c r="B84" t="s">
        <v>170</v>
      </c>
      <c r="F84" t="s">
        <v>68</v>
      </c>
      <c r="G84">
        <v>2</v>
      </c>
    </row>
    <row r="85" spans="1:9" x14ac:dyDescent="0.35">
      <c r="A85">
        <v>85</v>
      </c>
      <c r="B85" t="s">
        <v>171</v>
      </c>
      <c r="C85" t="s">
        <v>13</v>
      </c>
      <c r="D85" t="s">
        <v>72</v>
      </c>
      <c r="E85" t="s">
        <v>66</v>
      </c>
      <c r="F85" t="s">
        <v>68</v>
      </c>
      <c r="H85">
        <v>30000</v>
      </c>
    </row>
    <row r="86" spans="1:9" x14ac:dyDescent="0.35">
      <c r="A86">
        <v>86</v>
      </c>
      <c r="B86" t="s">
        <v>172</v>
      </c>
      <c r="C86" t="s">
        <v>20</v>
      </c>
      <c r="D86" t="s">
        <v>108</v>
      </c>
      <c r="E86" t="s">
        <v>62</v>
      </c>
      <c r="F86" t="s">
        <v>67</v>
      </c>
      <c r="H86">
        <v>1000</v>
      </c>
    </row>
    <row r="87" spans="1:9" x14ac:dyDescent="0.35">
      <c r="A87">
        <v>87</v>
      </c>
      <c r="B87" t="s">
        <v>173</v>
      </c>
      <c r="C87" t="s">
        <v>52</v>
      </c>
      <c r="D87" t="s">
        <v>60</v>
      </c>
      <c r="E87" t="s">
        <v>66</v>
      </c>
      <c r="F87" t="s">
        <v>68</v>
      </c>
      <c r="G87">
        <v>5</v>
      </c>
      <c r="H87" s="3">
        <v>10000</v>
      </c>
    </row>
    <row r="88" spans="1:9" x14ac:dyDescent="0.35">
      <c r="A88">
        <v>88</v>
      </c>
      <c r="B88" t="s">
        <v>174</v>
      </c>
      <c r="D88" t="s">
        <v>59</v>
      </c>
      <c r="E88" t="s">
        <v>110</v>
      </c>
      <c r="G88">
        <v>3</v>
      </c>
      <c r="H88">
        <v>5000</v>
      </c>
      <c r="I88">
        <v>15000</v>
      </c>
    </row>
    <row r="89" spans="1:9" x14ac:dyDescent="0.35">
      <c r="A89">
        <v>89</v>
      </c>
      <c r="B89" t="s">
        <v>175</v>
      </c>
      <c r="C89" t="s">
        <v>12</v>
      </c>
      <c r="D89" t="s">
        <v>59</v>
      </c>
      <c r="E89" t="s">
        <v>65</v>
      </c>
      <c r="G89">
        <v>5</v>
      </c>
    </row>
    <row r="90" spans="1:9" x14ac:dyDescent="0.35">
      <c r="A90">
        <v>90</v>
      </c>
      <c r="B90" t="s">
        <v>176</v>
      </c>
      <c r="C90" t="s">
        <v>45</v>
      </c>
      <c r="E90" t="s">
        <v>110</v>
      </c>
      <c r="G90">
        <v>3</v>
      </c>
      <c r="H90" s="3">
        <v>10000</v>
      </c>
    </row>
    <row r="91" spans="1:9" x14ac:dyDescent="0.35">
      <c r="A91">
        <v>91</v>
      </c>
      <c r="B91" t="s">
        <v>177</v>
      </c>
      <c r="C91" t="s">
        <v>52</v>
      </c>
      <c r="D91" t="s">
        <v>61</v>
      </c>
      <c r="E91" t="s">
        <v>62</v>
      </c>
      <c r="F91" t="s">
        <v>67</v>
      </c>
      <c r="G91">
        <v>1</v>
      </c>
      <c r="H91" s="3">
        <v>10000</v>
      </c>
    </row>
    <row r="92" spans="1:9" x14ac:dyDescent="0.35">
      <c r="A92">
        <v>92</v>
      </c>
      <c r="B92" t="s">
        <v>114</v>
      </c>
      <c r="C92" t="s">
        <v>11</v>
      </c>
      <c r="D92" t="s">
        <v>108</v>
      </c>
      <c r="E92" t="s">
        <v>66</v>
      </c>
      <c r="F92" t="s">
        <v>67</v>
      </c>
      <c r="G92">
        <v>2</v>
      </c>
      <c r="H92">
        <v>30000</v>
      </c>
      <c r="I92">
        <v>60000</v>
      </c>
    </row>
    <row r="93" spans="1:9" x14ac:dyDescent="0.35">
      <c r="A93">
        <v>93</v>
      </c>
      <c r="B93" t="s">
        <v>178</v>
      </c>
      <c r="C93" t="s">
        <v>53</v>
      </c>
      <c r="D93" t="s">
        <v>60</v>
      </c>
      <c r="E93" t="s">
        <v>65</v>
      </c>
      <c r="F93" t="s">
        <v>68</v>
      </c>
    </row>
    <row r="94" spans="1:9" x14ac:dyDescent="0.35">
      <c r="A94">
        <v>94</v>
      </c>
      <c r="B94" t="s">
        <v>179</v>
      </c>
      <c r="C94" t="s">
        <v>15</v>
      </c>
      <c r="D94" t="s">
        <v>61</v>
      </c>
      <c r="E94" t="s">
        <v>63</v>
      </c>
      <c r="H94">
        <v>30000</v>
      </c>
    </row>
    <row r="95" spans="1:9" x14ac:dyDescent="0.35">
      <c r="A95">
        <v>95</v>
      </c>
      <c r="B95" t="s">
        <v>180</v>
      </c>
      <c r="C95" t="s">
        <v>54</v>
      </c>
      <c r="D95" t="s">
        <v>108</v>
      </c>
      <c r="E95" t="s">
        <v>66</v>
      </c>
      <c r="G95">
        <v>5</v>
      </c>
      <c r="H95">
        <v>30000</v>
      </c>
      <c r="I95">
        <v>150000</v>
      </c>
    </row>
    <row r="96" spans="1:9" x14ac:dyDescent="0.35">
      <c r="A96">
        <v>96</v>
      </c>
      <c r="B96" t="s">
        <v>106</v>
      </c>
      <c r="C96" t="s">
        <v>47</v>
      </c>
      <c r="D96" t="s">
        <v>108</v>
      </c>
      <c r="E96" t="s">
        <v>65</v>
      </c>
      <c r="F96" t="s">
        <v>67</v>
      </c>
      <c r="G96">
        <v>3</v>
      </c>
      <c r="H96">
        <v>30000</v>
      </c>
      <c r="I96">
        <v>90000</v>
      </c>
    </row>
    <row r="97" spans="1:9" x14ac:dyDescent="0.35">
      <c r="A97">
        <v>97</v>
      </c>
      <c r="B97" t="s">
        <v>181</v>
      </c>
      <c r="C97" t="s">
        <v>27</v>
      </c>
      <c r="D97" t="s">
        <v>60</v>
      </c>
      <c r="E97" t="s">
        <v>64</v>
      </c>
      <c r="F97" t="s">
        <v>67</v>
      </c>
      <c r="G97">
        <v>5</v>
      </c>
      <c r="H97">
        <v>5000</v>
      </c>
      <c r="I97">
        <v>25000</v>
      </c>
    </row>
    <row r="98" spans="1:9" x14ac:dyDescent="0.35">
      <c r="A98">
        <v>98</v>
      </c>
      <c r="B98" t="s">
        <v>182</v>
      </c>
      <c r="D98" t="s">
        <v>61</v>
      </c>
      <c r="E98" t="s">
        <v>66</v>
      </c>
      <c r="F98" t="s">
        <v>68</v>
      </c>
      <c r="H98">
        <v>1000</v>
      </c>
    </row>
    <row r="99" spans="1:9" x14ac:dyDescent="0.35">
      <c r="A99">
        <v>99</v>
      </c>
      <c r="B99" t="s">
        <v>183</v>
      </c>
      <c r="C99" t="s">
        <v>53</v>
      </c>
      <c r="E99" t="s">
        <v>62</v>
      </c>
      <c r="F99" t="s">
        <v>68</v>
      </c>
      <c r="G99">
        <v>2</v>
      </c>
      <c r="H99">
        <v>20000</v>
      </c>
    </row>
    <row r="100" spans="1:9" x14ac:dyDescent="0.35">
      <c r="A100">
        <v>100</v>
      </c>
      <c r="B100" t="s">
        <v>180</v>
      </c>
      <c r="C100" t="s">
        <v>23</v>
      </c>
      <c r="D100" t="s">
        <v>61</v>
      </c>
      <c r="E100" t="s">
        <v>110</v>
      </c>
      <c r="F100" t="s">
        <v>68</v>
      </c>
      <c r="H100">
        <v>5000</v>
      </c>
    </row>
    <row r="101" spans="1:9" x14ac:dyDescent="0.35">
      <c r="A101">
        <v>101</v>
      </c>
      <c r="B101" t="s">
        <v>184</v>
      </c>
      <c r="C101" t="s">
        <v>55</v>
      </c>
      <c r="D101" t="s">
        <v>59</v>
      </c>
      <c r="E101" t="s">
        <v>65</v>
      </c>
      <c r="F101" t="s">
        <v>67</v>
      </c>
      <c r="G101">
        <v>1</v>
      </c>
      <c r="H101">
        <v>5000</v>
      </c>
      <c r="I101">
        <v>5000</v>
      </c>
    </row>
    <row r="102" spans="1:9" x14ac:dyDescent="0.35">
      <c r="A102">
        <v>102</v>
      </c>
      <c r="B102" t="s">
        <v>185</v>
      </c>
      <c r="C102" t="s">
        <v>50</v>
      </c>
      <c r="D102" t="s">
        <v>61</v>
      </c>
      <c r="E102" t="s">
        <v>65</v>
      </c>
      <c r="H102">
        <v>5000</v>
      </c>
    </row>
    <row r="103" spans="1:9" x14ac:dyDescent="0.35">
      <c r="A103">
        <v>103</v>
      </c>
      <c r="B103" t="s">
        <v>186</v>
      </c>
      <c r="C103" t="s">
        <v>18</v>
      </c>
      <c r="E103" t="s">
        <v>64</v>
      </c>
      <c r="G103">
        <v>5</v>
      </c>
    </row>
    <row r="104" spans="1:9" x14ac:dyDescent="0.35">
      <c r="A104">
        <v>104</v>
      </c>
      <c r="B104" t="s">
        <v>187</v>
      </c>
      <c r="C104" t="s">
        <v>11</v>
      </c>
      <c r="D104" t="s">
        <v>61</v>
      </c>
      <c r="E104" t="s">
        <v>66</v>
      </c>
      <c r="F104" t="s">
        <v>67</v>
      </c>
      <c r="G104">
        <v>1</v>
      </c>
      <c r="H104">
        <v>5000</v>
      </c>
      <c r="I104">
        <v>5000</v>
      </c>
    </row>
    <row r="105" spans="1:9" x14ac:dyDescent="0.35">
      <c r="A105">
        <v>105</v>
      </c>
      <c r="B105" t="s">
        <v>188</v>
      </c>
      <c r="C105" t="s">
        <v>39</v>
      </c>
      <c r="D105" t="s">
        <v>108</v>
      </c>
      <c r="E105" t="s">
        <v>110</v>
      </c>
      <c r="G105">
        <v>5</v>
      </c>
      <c r="H105">
        <v>5000</v>
      </c>
      <c r="I105">
        <v>25000</v>
      </c>
    </row>
    <row r="106" spans="1:9" x14ac:dyDescent="0.35">
      <c r="A106">
        <v>106</v>
      </c>
      <c r="B106" t="s">
        <v>189</v>
      </c>
      <c r="C106" t="s">
        <v>36</v>
      </c>
      <c r="D106" t="s">
        <v>61</v>
      </c>
      <c r="E106" t="s">
        <v>62</v>
      </c>
      <c r="F106" t="s">
        <v>68</v>
      </c>
      <c r="H106">
        <v>5000</v>
      </c>
    </row>
    <row r="107" spans="1:9" x14ac:dyDescent="0.35">
      <c r="A107">
        <v>107</v>
      </c>
      <c r="B107" t="s">
        <v>126</v>
      </c>
      <c r="C107" t="s">
        <v>9</v>
      </c>
      <c r="D107" t="s">
        <v>60</v>
      </c>
      <c r="E107" t="s">
        <v>66</v>
      </c>
      <c r="F107" t="s">
        <v>67</v>
      </c>
      <c r="G107">
        <v>2</v>
      </c>
    </row>
    <row r="108" spans="1:9" x14ac:dyDescent="0.35">
      <c r="A108">
        <v>108</v>
      </c>
      <c r="B108" t="s">
        <v>190</v>
      </c>
      <c r="C108" t="s">
        <v>50</v>
      </c>
      <c r="D108" t="s">
        <v>59</v>
      </c>
      <c r="E108" t="s">
        <v>66</v>
      </c>
      <c r="F108" t="s">
        <v>68</v>
      </c>
    </row>
    <row r="109" spans="1:9" x14ac:dyDescent="0.35">
      <c r="A109">
        <v>109</v>
      </c>
      <c r="B109" t="s">
        <v>155</v>
      </c>
      <c r="C109" t="s">
        <v>56</v>
      </c>
      <c r="D109" t="s">
        <v>59</v>
      </c>
      <c r="E109" t="s">
        <v>65</v>
      </c>
      <c r="F109" t="s">
        <v>67</v>
      </c>
      <c r="G109">
        <v>3</v>
      </c>
      <c r="H109" s="3">
        <v>10000</v>
      </c>
    </row>
    <row r="110" spans="1:9" x14ac:dyDescent="0.35">
      <c r="A110">
        <v>110</v>
      </c>
      <c r="B110" t="s">
        <v>191</v>
      </c>
      <c r="C110" t="s">
        <v>13</v>
      </c>
      <c r="D110" t="s">
        <v>72</v>
      </c>
      <c r="E110" t="s">
        <v>65</v>
      </c>
      <c r="H110">
        <v>30000</v>
      </c>
    </row>
    <row r="111" spans="1:9" x14ac:dyDescent="0.35">
      <c r="A111">
        <v>111</v>
      </c>
      <c r="B111" t="s">
        <v>134</v>
      </c>
      <c r="C111" t="s">
        <v>14</v>
      </c>
      <c r="E111" t="s">
        <v>63</v>
      </c>
      <c r="F111" t="s">
        <v>67</v>
      </c>
      <c r="G111">
        <v>3</v>
      </c>
      <c r="H111" s="3">
        <v>10000</v>
      </c>
    </row>
    <row r="112" spans="1:9" x14ac:dyDescent="0.35">
      <c r="A112">
        <v>112</v>
      </c>
      <c r="B112" t="s">
        <v>192</v>
      </c>
      <c r="D112" t="s">
        <v>59</v>
      </c>
      <c r="E112" t="s">
        <v>110</v>
      </c>
      <c r="F112" t="s">
        <v>67</v>
      </c>
      <c r="G112">
        <v>4</v>
      </c>
    </row>
    <row r="113" spans="1:9" x14ac:dyDescent="0.35">
      <c r="A113">
        <v>113</v>
      </c>
      <c r="C113" t="s">
        <v>11</v>
      </c>
      <c r="D113" t="s">
        <v>59</v>
      </c>
      <c r="E113" t="s">
        <v>65</v>
      </c>
      <c r="G113">
        <v>5</v>
      </c>
      <c r="H113">
        <v>30000</v>
      </c>
      <c r="I113">
        <v>150000</v>
      </c>
    </row>
    <row r="114" spans="1:9" x14ac:dyDescent="0.35">
      <c r="A114">
        <v>114</v>
      </c>
      <c r="B114" t="s">
        <v>193</v>
      </c>
      <c r="C114" t="s">
        <v>46</v>
      </c>
      <c r="D114" t="s">
        <v>59</v>
      </c>
      <c r="E114" t="s">
        <v>65</v>
      </c>
      <c r="F114" t="s">
        <v>68</v>
      </c>
      <c r="G114">
        <v>4</v>
      </c>
      <c r="H114">
        <v>5000</v>
      </c>
      <c r="I114">
        <v>20000</v>
      </c>
    </row>
    <row r="115" spans="1:9" x14ac:dyDescent="0.35">
      <c r="A115">
        <v>115</v>
      </c>
      <c r="B115" t="s">
        <v>191</v>
      </c>
      <c r="C115" t="s">
        <v>22</v>
      </c>
      <c r="D115" t="s">
        <v>59</v>
      </c>
      <c r="G115">
        <v>5</v>
      </c>
    </row>
    <row r="116" spans="1:9" x14ac:dyDescent="0.35">
      <c r="A116">
        <v>116</v>
      </c>
      <c r="B116" t="s">
        <v>194</v>
      </c>
      <c r="C116" t="s">
        <v>44</v>
      </c>
      <c r="D116" t="s">
        <v>108</v>
      </c>
      <c r="E116" t="s">
        <v>110</v>
      </c>
      <c r="H116">
        <v>20000</v>
      </c>
    </row>
    <row r="117" spans="1:9" x14ac:dyDescent="0.35">
      <c r="A117">
        <v>117</v>
      </c>
      <c r="B117" t="s">
        <v>163</v>
      </c>
      <c r="E117" t="s">
        <v>66</v>
      </c>
      <c r="F117" t="s">
        <v>67</v>
      </c>
      <c r="G117">
        <v>2</v>
      </c>
      <c r="H117">
        <v>5000</v>
      </c>
    </row>
    <row r="118" spans="1:9" x14ac:dyDescent="0.35">
      <c r="A118">
        <v>118</v>
      </c>
      <c r="B118" t="s">
        <v>195</v>
      </c>
      <c r="C118" t="s">
        <v>21</v>
      </c>
      <c r="D118" t="s">
        <v>72</v>
      </c>
      <c r="E118" t="s">
        <v>66</v>
      </c>
      <c r="G118">
        <v>5</v>
      </c>
      <c r="H118">
        <v>20000</v>
      </c>
      <c r="I118">
        <v>100000</v>
      </c>
    </row>
    <row r="119" spans="1:9" x14ac:dyDescent="0.35">
      <c r="A119">
        <v>119</v>
      </c>
      <c r="B119" t="s">
        <v>193</v>
      </c>
      <c r="C119" t="s">
        <v>41</v>
      </c>
      <c r="D119" t="s">
        <v>59</v>
      </c>
      <c r="E119" t="s">
        <v>110</v>
      </c>
      <c r="F119" t="s">
        <v>67</v>
      </c>
      <c r="G119">
        <v>3</v>
      </c>
      <c r="H119">
        <v>30000</v>
      </c>
      <c r="I119">
        <v>90000</v>
      </c>
    </row>
    <row r="120" spans="1:9" x14ac:dyDescent="0.35">
      <c r="A120">
        <v>120</v>
      </c>
      <c r="B120" t="s">
        <v>105</v>
      </c>
      <c r="C120" t="s">
        <v>39</v>
      </c>
      <c r="D120" t="s">
        <v>72</v>
      </c>
      <c r="E120" t="s">
        <v>62</v>
      </c>
      <c r="F120" t="s">
        <v>67</v>
      </c>
      <c r="G120">
        <v>2</v>
      </c>
      <c r="H120">
        <v>30000</v>
      </c>
    </row>
    <row r="121" spans="1:9" x14ac:dyDescent="0.35">
      <c r="A121">
        <v>121</v>
      </c>
      <c r="B121" t="s">
        <v>196</v>
      </c>
      <c r="C121" t="s">
        <v>51</v>
      </c>
      <c r="D121" t="s">
        <v>61</v>
      </c>
      <c r="E121" t="s">
        <v>63</v>
      </c>
      <c r="F121" t="s">
        <v>67</v>
      </c>
      <c r="G121">
        <v>3</v>
      </c>
      <c r="H121">
        <v>20000</v>
      </c>
      <c r="I121">
        <v>60000</v>
      </c>
    </row>
    <row r="122" spans="1:9" x14ac:dyDescent="0.35">
      <c r="A122">
        <v>122</v>
      </c>
      <c r="B122" t="s">
        <v>185</v>
      </c>
      <c r="C122" t="s">
        <v>45</v>
      </c>
      <c r="D122" t="s">
        <v>59</v>
      </c>
      <c r="G122">
        <v>2</v>
      </c>
      <c r="H122">
        <v>1000</v>
      </c>
    </row>
    <row r="123" spans="1:9" x14ac:dyDescent="0.35">
      <c r="A123">
        <v>123</v>
      </c>
      <c r="B123" t="s">
        <v>197</v>
      </c>
      <c r="C123" t="s">
        <v>56</v>
      </c>
      <c r="D123" t="s">
        <v>72</v>
      </c>
      <c r="E123" t="s">
        <v>110</v>
      </c>
      <c r="F123" t="s">
        <v>67</v>
      </c>
      <c r="G123">
        <v>3</v>
      </c>
      <c r="H123">
        <v>20000</v>
      </c>
      <c r="I123">
        <v>60000</v>
      </c>
    </row>
    <row r="124" spans="1:9" x14ac:dyDescent="0.35">
      <c r="A124">
        <v>124</v>
      </c>
      <c r="B124" t="s">
        <v>198</v>
      </c>
      <c r="C124" t="s">
        <v>32</v>
      </c>
      <c r="F124" t="s">
        <v>67</v>
      </c>
      <c r="H124">
        <v>1000</v>
      </c>
    </row>
    <row r="125" spans="1:9" x14ac:dyDescent="0.35">
      <c r="A125">
        <v>125</v>
      </c>
      <c r="C125" t="s">
        <v>17</v>
      </c>
      <c r="D125" t="s">
        <v>59</v>
      </c>
      <c r="E125" t="s">
        <v>62</v>
      </c>
      <c r="F125" t="s">
        <v>67</v>
      </c>
      <c r="G125">
        <v>5</v>
      </c>
      <c r="H125">
        <v>5000</v>
      </c>
      <c r="I125">
        <v>25000</v>
      </c>
    </row>
    <row r="126" spans="1:9" x14ac:dyDescent="0.35">
      <c r="A126">
        <v>126</v>
      </c>
      <c r="B126" t="s">
        <v>199</v>
      </c>
      <c r="C126" t="s">
        <v>32</v>
      </c>
      <c r="E126" t="s">
        <v>62</v>
      </c>
      <c r="F126" t="s">
        <v>67</v>
      </c>
      <c r="G126">
        <v>2</v>
      </c>
      <c r="H126" s="3">
        <v>10000</v>
      </c>
    </row>
    <row r="127" spans="1:9" x14ac:dyDescent="0.35">
      <c r="A127">
        <v>127</v>
      </c>
      <c r="B127" t="s">
        <v>200</v>
      </c>
      <c r="C127" t="s">
        <v>52</v>
      </c>
      <c r="D127" t="s">
        <v>60</v>
      </c>
      <c r="E127" t="s">
        <v>110</v>
      </c>
      <c r="F127" t="s">
        <v>67</v>
      </c>
      <c r="G127">
        <v>2</v>
      </c>
      <c r="H127">
        <v>5000</v>
      </c>
    </row>
    <row r="128" spans="1:9" x14ac:dyDescent="0.35">
      <c r="A128">
        <v>128</v>
      </c>
      <c r="B128" t="s">
        <v>201</v>
      </c>
      <c r="C128" t="s">
        <v>42</v>
      </c>
      <c r="E128" t="s">
        <v>65</v>
      </c>
      <c r="F128" t="s">
        <v>67</v>
      </c>
      <c r="G128">
        <v>4</v>
      </c>
      <c r="H128">
        <v>20000</v>
      </c>
      <c r="I128">
        <v>80000</v>
      </c>
    </row>
    <row r="129" spans="1:9" x14ac:dyDescent="0.35">
      <c r="A129">
        <v>129</v>
      </c>
      <c r="B129" t="s">
        <v>202</v>
      </c>
      <c r="C129" t="s">
        <v>20</v>
      </c>
      <c r="D129" t="s">
        <v>61</v>
      </c>
      <c r="E129" t="s">
        <v>64</v>
      </c>
      <c r="F129" t="s">
        <v>67</v>
      </c>
      <c r="G129">
        <v>2</v>
      </c>
    </row>
    <row r="130" spans="1:9" x14ac:dyDescent="0.35">
      <c r="A130">
        <v>130</v>
      </c>
      <c r="B130" t="s">
        <v>173</v>
      </c>
      <c r="C130" t="s">
        <v>22</v>
      </c>
      <c r="D130" t="s">
        <v>59</v>
      </c>
      <c r="E130" t="s">
        <v>66</v>
      </c>
      <c r="F130" t="s">
        <v>67</v>
      </c>
      <c r="G130">
        <v>2</v>
      </c>
    </row>
    <row r="131" spans="1:9" x14ac:dyDescent="0.35">
      <c r="A131">
        <v>131</v>
      </c>
      <c r="B131" t="s">
        <v>203</v>
      </c>
      <c r="C131" t="s">
        <v>43</v>
      </c>
      <c r="D131" t="s">
        <v>108</v>
      </c>
      <c r="F131" t="s">
        <v>67</v>
      </c>
      <c r="G131">
        <v>5</v>
      </c>
    </row>
    <row r="132" spans="1:9" x14ac:dyDescent="0.35">
      <c r="A132">
        <v>132</v>
      </c>
      <c r="C132" t="s">
        <v>47</v>
      </c>
      <c r="D132" t="s">
        <v>59</v>
      </c>
      <c r="F132" t="s">
        <v>68</v>
      </c>
      <c r="G132">
        <v>1</v>
      </c>
      <c r="H132">
        <v>30000</v>
      </c>
      <c r="I132">
        <v>30000</v>
      </c>
    </row>
    <row r="133" spans="1:9" x14ac:dyDescent="0.35">
      <c r="A133">
        <v>133</v>
      </c>
      <c r="B133" t="s">
        <v>105</v>
      </c>
      <c r="C133" t="s">
        <v>15</v>
      </c>
      <c r="D133" t="s">
        <v>59</v>
      </c>
      <c r="F133" t="s">
        <v>67</v>
      </c>
    </row>
    <row r="134" spans="1:9" x14ac:dyDescent="0.35">
      <c r="A134">
        <v>134</v>
      </c>
      <c r="C134" t="s">
        <v>30</v>
      </c>
      <c r="D134" t="s">
        <v>59</v>
      </c>
      <c r="E134" t="s">
        <v>62</v>
      </c>
      <c r="H134">
        <v>1000</v>
      </c>
    </row>
    <row r="135" spans="1:9" x14ac:dyDescent="0.35">
      <c r="A135">
        <v>135</v>
      </c>
      <c r="B135" t="s">
        <v>196</v>
      </c>
      <c r="C135" t="s">
        <v>28</v>
      </c>
      <c r="D135" t="s">
        <v>61</v>
      </c>
      <c r="E135" t="s">
        <v>66</v>
      </c>
      <c r="F135" t="s">
        <v>67</v>
      </c>
      <c r="H135">
        <v>1000</v>
      </c>
    </row>
    <row r="136" spans="1:9" x14ac:dyDescent="0.35">
      <c r="A136">
        <v>136</v>
      </c>
      <c r="C136" t="s">
        <v>17</v>
      </c>
      <c r="D136" t="s">
        <v>72</v>
      </c>
      <c r="E136" t="s">
        <v>65</v>
      </c>
      <c r="F136" t="s">
        <v>68</v>
      </c>
      <c r="G136">
        <v>5</v>
      </c>
      <c r="H136">
        <v>30000</v>
      </c>
      <c r="I136">
        <v>150000</v>
      </c>
    </row>
    <row r="137" spans="1:9" x14ac:dyDescent="0.35">
      <c r="A137">
        <v>137</v>
      </c>
      <c r="B137" t="s">
        <v>204</v>
      </c>
      <c r="C137" t="s">
        <v>55</v>
      </c>
      <c r="D137" t="s">
        <v>59</v>
      </c>
      <c r="E137" t="s">
        <v>110</v>
      </c>
    </row>
    <row r="138" spans="1:9" x14ac:dyDescent="0.35">
      <c r="A138">
        <v>138</v>
      </c>
      <c r="C138" t="s">
        <v>19</v>
      </c>
      <c r="D138" t="s">
        <v>108</v>
      </c>
      <c r="E138" t="s">
        <v>62</v>
      </c>
      <c r="G138">
        <v>3</v>
      </c>
      <c r="H138">
        <v>1000</v>
      </c>
      <c r="I138">
        <v>3000</v>
      </c>
    </row>
    <row r="139" spans="1:9" x14ac:dyDescent="0.35">
      <c r="A139">
        <v>139</v>
      </c>
      <c r="B139" t="s">
        <v>205</v>
      </c>
      <c r="C139" t="s">
        <v>57</v>
      </c>
      <c r="D139" t="s">
        <v>108</v>
      </c>
      <c r="E139" t="s">
        <v>62</v>
      </c>
      <c r="G139">
        <v>4</v>
      </c>
      <c r="H139">
        <v>20000</v>
      </c>
      <c r="I139">
        <v>80000</v>
      </c>
    </row>
    <row r="140" spans="1:9" x14ac:dyDescent="0.35">
      <c r="A140">
        <v>140</v>
      </c>
      <c r="B140" t="s">
        <v>185</v>
      </c>
      <c r="C140" t="s">
        <v>27</v>
      </c>
      <c r="D140" t="s">
        <v>72</v>
      </c>
      <c r="E140" t="s">
        <v>62</v>
      </c>
      <c r="G140">
        <v>2</v>
      </c>
      <c r="H140">
        <v>5000</v>
      </c>
      <c r="I140">
        <v>10000</v>
      </c>
    </row>
    <row r="141" spans="1:9" x14ac:dyDescent="0.35">
      <c r="A141">
        <v>141</v>
      </c>
      <c r="B141" t="s">
        <v>206</v>
      </c>
      <c r="C141" t="s">
        <v>54</v>
      </c>
      <c r="D141" t="s">
        <v>108</v>
      </c>
      <c r="E141" t="s">
        <v>66</v>
      </c>
      <c r="F141" t="s">
        <v>67</v>
      </c>
      <c r="G141">
        <v>2</v>
      </c>
    </row>
    <row r="142" spans="1:9" x14ac:dyDescent="0.35">
      <c r="A142">
        <v>142</v>
      </c>
      <c r="B142" t="s">
        <v>207</v>
      </c>
      <c r="C142" t="s">
        <v>54</v>
      </c>
      <c r="E142" t="s">
        <v>65</v>
      </c>
      <c r="F142" t="s">
        <v>67</v>
      </c>
      <c r="G142">
        <v>1</v>
      </c>
      <c r="H142" s="3">
        <v>10000</v>
      </c>
    </row>
    <row r="143" spans="1:9" x14ac:dyDescent="0.35">
      <c r="A143">
        <v>143</v>
      </c>
      <c r="B143" t="s">
        <v>160</v>
      </c>
      <c r="C143" t="s">
        <v>21</v>
      </c>
      <c r="D143" t="s">
        <v>59</v>
      </c>
      <c r="F143" t="s">
        <v>67</v>
      </c>
    </row>
    <row r="144" spans="1:9" x14ac:dyDescent="0.35">
      <c r="A144">
        <v>144</v>
      </c>
      <c r="B144" t="s">
        <v>208</v>
      </c>
      <c r="C144" t="s">
        <v>54</v>
      </c>
      <c r="E144" t="s">
        <v>63</v>
      </c>
      <c r="G144">
        <v>1</v>
      </c>
    </row>
    <row r="145" spans="1:9" x14ac:dyDescent="0.35">
      <c r="A145">
        <v>145</v>
      </c>
      <c r="C145" t="s">
        <v>43</v>
      </c>
      <c r="D145" t="s">
        <v>60</v>
      </c>
      <c r="E145" t="s">
        <v>63</v>
      </c>
      <c r="G145">
        <v>4</v>
      </c>
    </row>
    <row r="146" spans="1:9" x14ac:dyDescent="0.35">
      <c r="A146">
        <v>146</v>
      </c>
      <c r="B146" t="s">
        <v>209</v>
      </c>
      <c r="C146" t="s">
        <v>49</v>
      </c>
      <c r="D146" t="s">
        <v>72</v>
      </c>
      <c r="E146" t="s">
        <v>64</v>
      </c>
      <c r="F146" t="s">
        <v>68</v>
      </c>
      <c r="H146">
        <v>30000</v>
      </c>
    </row>
    <row r="147" spans="1:9" x14ac:dyDescent="0.35">
      <c r="A147">
        <v>147</v>
      </c>
      <c r="B147" t="s">
        <v>210</v>
      </c>
      <c r="C147" t="s">
        <v>19</v>
      </c>
      <c r="D147" t="s">
        <v>59</v>
      </c>
      <c r="E147" t="s">
        <v>66</v>
      </c>
      <c r="F147" t="s">
        <v>67</v>
      </c>
      <c r="G147">
        <v>1</v>
      </c>
      <c r="H147">
        <v>20000</v>
      </c>
      <c r="I147">
        <v>20000</v>
      </c>
    </row>
    <row r="148" spans="1:9" x14ac:dyDescent="0.35">
      <c r="A148">
        <v>148</v>
      </c>
      <c r="B148" t="s">
        <v>211</v>
      </c>
      <c r="C148" t="s">
        <v>33</v>
      </c>
      <c r="D148" t="s">
        <v>59</v>
      </c>
      <c r="E148" t="s">
        <v>110</v>
      </c>
      <c r="G148">
        <v>3</v>
      </c>
      <c r="H148">
        <v>30000</v>
      </c>
      <c r="I148">
        <v>90000</v>
      </c>
    </row>
    <row r="149" spans="1:9" x14ac:dyDescent="0.35">
      <c r="A149">
        <v>149</v>
      </c>
      <c r="B149" t="s">
        <v>134</v>
      </c>
      <c r="D149" t="s">
        <v>61</v>
      </c>
      <c r="E149" t="s">
        <v>66</v>
      </c>
      <c r="F149" t="s">
        <v>67</v>
      </c>
      <c r="G149">
        <v>2</v>
      </c>
      <c r="H149">
        <v>30000</v>
      </c>
      <c r="I149">
        <v>60000</v>
      </c>
    </row>
    <row r="150" spans="1:9" x14ac:dyDescent="0.35">
      <c r="A150">
        <v>150</v>
      </c>
      <c r="B150" t="s">
        <v>202</v>
      </c>
      <c r="C150" t="s">
        <v>36</v>
      </c>
      <c r="D150" t="s">
        <v>61</v>
      </c>
      <c r="E150" t="s">
        <v>110</v>
      </c>
      <c r="G150">
        <v>1</v>
      </c>
      <c r="H150">
        <v>30000</v>
      </c>
      <c r="I150">
        <v>30000</v>
      </c>
    </row>
    <row r="151" spans="1:9" x14ac:dyDescent="0.35">
      <c r="A151">
        <v>151</v>
      </c>
      <c r="B151" t="s">
        <v>212</v>
      </c>
      <c r="D151" t="s">
        <v>59</v>
      </c>
      <c r="E151" t="s">
        <v>65</v>
      </c>
      <c r="F151" t="s">
        <v>67</v>
      </c>
      <c r="G151">
        <v>2</v>
      </c>
    </row>
    <row r="152" spans="1:9" x14ac:dyDescent="0.35">
      <c r="A152">
        <v>152</v>
      </c>
      <c r="B152" t="s">
        <v>213</v>
      </c>
      <c r="C152" t="s">
        <v>35</v>
      </c>
      <c r="D152" t="s">
        <v>61</v>
      </c>
      <c r="E152" t="s">
        <v>66</v>
      </c>
      <c r="F152" t="s">
        <v>68</v>
      </c>
      <c r="G152">
        <v>4</v>
      </c>
      <c r="H152">
        <v>5000</v>
      </c>
      <c r="I152">
        <v>20000</v>
      </c>
    </row>
    <row r="153" spans="1:9" x14ac:dyDescent="0.35">
      <c r="A153">
        <v>153</v>
      </c>
      <c r="C153" t="s">
        <v>54</v>
      </c>
      <c r="E153" t="s">
        <v>63</v>
      </c>
      <c r="G153">
        <v>3</v>
      </c>
      <c r="H153">
        <v>5000</v>
      </c>
      <c r="I153">
        <v>15000</v>
      </c>
    </row>
    <row r="154" spans="1:9" x14ac:dyDescent="0.35">
      <c r="A154">
        <v>154</v>
      </c>
      <c r="B154" t="s">
        <v>214</v>
      </c>
      <c r="C154" t="s">
        <v>17</v>
      </c>
      <c r="F154" t="s">
        <v>68</v>
      </c>
      <c r="G154">
        <v>2</v>
      </c>
      <c r="H154">
        <v>1000</v>
      </c>
      <c r="I154">
        <v>2000</v>
      </c>
    </row>
    <row r="155" spans="1:9" x14ac:dyDescent="0.35">
      <c r="A155">
        <v>155</v>
      </c>
      <c r="B155" t="s">
        <v>215</v>
      </c>
      <c r="C155" t="s">
        <v>10</v>
      </c>
      <c r="D155" t="s">
        <v>72</v>
      </c>
      <c r="E155" t="s">
        <v>63</v>
      </c>
      <c r="G155">
        <v>4</v>
      </c>
      <c r="H155">
        <v>20000</v>
      </c>
      <c r="I155">
        <v>80000</v>
      </c>
    </row>
    <row r="156" spans="1:9" x14ac:dyDescent="0.35">
      <c r="A156">
        <v>156</v>
      </c>
      <c r="B156" t="s">
        <v>216</v>
      </c>
      <c r="C156" t="s">
        <v>54</v>
      </c>
      <c r="D156" t="s">
        <v>59</v>
      </c>
      <c r="E156" t="s">
        <v>66</v>
      </c>
      <c r="F156" t="s">
        <v>67</v>
      </c>
      <c r="G156">
        <v>2</v>
      </c>
    </row>
    <row r="157" spans="1:9" x14ac:dyDescent="0.35">
      <c r="A157">
        <v>157</v>
      </c>
      <c r="B157" t="s">
        <v>217</v>
      </c>
      <c r="C157" t="s">
        <v>50</v>
      </c>
      <c r="D157" t="s">
        <v>59</v>
      </c>
      <c r="F157" t="s">
        <v>67</v>
      </c>
      <c r="H157" s="3">
        <v>10000</v>
      </c>
    </row>
    <row r="158" spans="1:9" x14ac:dyDescent="0.35">
      <c r="A158">
        <v>158</v>
      </c>
      <c r="B158" t="s">
        <v>218</v>
      </c>
      <c r="C158" t="s">
        <v>53</v>
      </c>
      <c r="D158" t="s">
        <v>108</v>
      </c>
      <c r="E158" t="s">
        <v>65</v>
      </c>
      <c r="F158" t="s">
        <v>68</v>
      </c>
      <c r="H158">
        <v>30000</v>
      </c>
    </row>
    <row r="159" spans="1:9" x14ac:dyDescent="0.35">
      <c r="A159">
        <v>159</v>
      </c>
      <c r="B159" t="s">
        <v>156</v>
      </c>
      <c r="C159" t="s">
        <v>21</v>
      </c>
      <c r="D159" t="s">
        <v>108</v>
      </c>
      <c r="E159" t="s">
        <v>62</v>
      </c>
      <c r="F159" t="s">
        <v>67</v>
      </c>
      <c r="H159">
        <v>30000</v>
      </c>
    </row>
    <row r="160" spans="1:9" x14ac:dyDescent="0.35">
      <c r="A160">
        <v>160</v>
      </c>
      <c r="C160" t="s">
        <v>56</v>
      </c>
      <c r="D160" t="s">
        <v>72</v>
      </c>
      <c r="F160" t="s">
        <v>67</v>
      </c>
      <c r="G160">
        <v>5</v>
      </c>
      <c r="H160">
        <v>20000</v>
      </c>
      <c r="I160">
        <v>100000</v>
      </c>
    </row>
    <row r="161" spans="1:9" x14ac:dyDescent="0.35">
      <c r="A161">
        <v>161</v>
      </c>
      <c r="B161" t="s">
        <v>219</v>
      </c>
      <c r="C161" t="s">
        <v>33</v>
      </c>
      <c r="D161" t="s">
        <v>60</v>
      </c>
      <c r="E161" t="s">
        <v>65</v>
      </c>
      <c r="G161">
        <v>5</v>
      </c>
      <c r="H161" s="3">
        <v>10000</v>
      </c>
    </row>
    <row r="162" spans="1:9" x14ac:dyDescent="0.35">
      <c r="A162">
        <v>162</v>
      </c>
      <c r="C162" t="s">
        <v>47</v>
      </c>
      <c r="D162" t="s">
        <v>72</v>
      </c>
      <c r="E162" t="s">
        <v>66</v>
      </c>
      <c r="G162">
        <v>3</v>
      </c>
    </row>
    <row r="163" spans="1:9" x14ac:dyDescent="0.35">
      <c r="A163">
        <v>163</v>
      </c>
      <c r="C163" t="s">
        <v>44</v>
      </c>
      <c r="D163" t="s">
        <v>59</v>
      </c>
      <c r="E163" t="s">
        <v>63</v>
      </c>
      <c r="F163" t="s">
        <v>67</v>
      </c>
      <c r="G163">
        <v>1</v>
      </c>
    </row>
    <row r="164" spans="1:9" x14ac:dyDescent="0.35">
      <c r="A164">
        <v>164</v>
      </c>
      <c r="B164" t="s">
        <v>220</v>
      </c>
      <c r="C164" t="s">
        <v>33</v>
      </c>
      <c r="D164" t="s">
        <v>108</v>
      </c>
      <c r="E164" t="s">
        <v>63</v>
      </c>
      <c r="G164">
        <v>1</v>
      </c>
      <c r="H164">
        <v>20000</v>
      </c>
      <c r="I164">
        <v>20000</v>
      </c>
    </row>
    <row r="165" spans="1:9" x14ac:dyDescent="0.35">
      <c r="A165">
        <v>165</v>
      </c>
      <c r="B165" t="s">
        <v>221</v>
      </c>
      <c r="C165" t="s">
        <v>50</v>
      </c>
      <c r="D165" t="s">
        <v>72</v>
      </c>
      <c r="E165" t="s">
        <v>65</v>
      </c>
      <c r="F165" t="s">
        <v>67</v>
      </c>
      <c r="G165">
        <v>1</v>
      </c>
      <c r="H165" s="3">
        <v>10000</v>
      </c>
    </row>
    <row r="166" spans="1:9" x14ac:dyDescent="0.35">
      <c r="A166">
        <v>166</v>
      </c>
      <c r="B166" t="s">
        <v>204</v>
      </c>
      <c r="C166" t="s">
        <v>38</v>
      </c>
      <c r="D166" t="s">
        <v>60</v>
      </c>
      <c r="E166" t="s">
        <v>62</v>
      </c>
      <c r="F166" t="s">
        <v>67</v>
      </c>
      <c r="G166">
        <v>3</v>
      </c>
      <c r="H166">
        <v>1000</v>
      </c>
      <c r="I166">
        <v>3000</v>
      </c>
    </row>
    <row r="167" spans="1:9" x14ac:dyDescent="0.35">
      <c r="A167">
        <v>167</v>
      </c>
      <c r="B167" t="s">
        <v>222</v>
      </c>
      <c r="C167" t="s">
        <v>25</v>
      </c>
      <c r="D167" t="s">
        <v>108</v>
      </c>
      <c r="E167" t="s">
        <v>65</v>
      </c>
      <c r="F167" t="s">
        <v>68</v>
      </c>
      <c r="G167">
        <v>2</v>
      </c>
    </row>
    <row r="168" spans="1:9" x14ac:dyDescent="0.35">
      <c r="A168">
        <v>168</v>
      </c>
      <c r="C168" t="s">
        <v>11</v>
      </c>
      <c r="D168" t="s">
        <v>61</v>
      </c>
      <c r="E168" t="s">
        <v>64</v>
      </c>
      <c r="G168">
        <v>5</v>
      </c>
      <c r="H168">
        <v>20000</v>
      </c>
      <c r="I168">
        <v>100000</v>
      </c>
    </row>
    <row r="169" spans="1:9" x14ac:dyDescent="0.35">
      <c r="A169">
        <v>169</v>
      </c>
      <c r="B169" t="s">
        <v>223</v>
      </c>
      <c r="C169" t="s">
        <v>38</v>
      </c>
      <c r="D169" t="s">
        <v>59</v>
      </c>
      <c r="E169" t="s">
        <v>65</v>
      </c>
      <c r="F169" t="s">
        <v>67</v>
      </c>
      <c r="H169">
        <v>30000</v>
      </c>
    </row>
    <row r="170" spans="1:9" x14ac:dyDescent="0.35">
      <c r="A170">
        <v>170</v>
      </c>
      <c r="B170" t="s">
        <v>224</v>
      </c>
      <c r="D170" t="s">
        <v>60</v>
      </c>
      <c r="E170" t="s">
        <v>65</v>
      </c>
      <c r="F170" t="s">
        <v>68</v>
      </c>
      <c r="G170">
        <v>5</v>
      </c>
      <c r="H170">
        <v>1000</v>
      </c>
      <c r="I170">
        <v>5000</v>
      </c>
    </row>
    <row r="171" spans="1:9" x14ac:dyDescent="0.35">
      <c r="A171">
        <v>171</v>
      </c>
      <c r="B171" t="s">
        <v>225</v>
      </c>
      <c r="C171" t="s">
        <v>12</v>
      </c>
      <c r="D171" t="s">
        <v>72</v>
      </c>
      <c r="H171">
        <v>5000</v>
      </c>
    </row>
    <row r="172" spans="1:9" x14ac:dyDescent="0.35">
      <c r="A172">
        <v>172</v>
      </c>
      <c r="C172" t="s">
        <v>58</v>
      </c>
      <c r="E172" t="s">
        <v>66</v>
      </c>
      <c r="F172" t="s">
        <v>68</v>
      </c>
      <c r="G172">
        <v>4</v>
      </c>
      <c r="H172">
        <v>5000</v>
      </c>
      <c r="I172">
        <v>20000</v>
      </c>
    </row>
    <row r="173" spans="1:9" x14ac:dyDescent="0.35">
      <c r="A173">
        <v>173</v>
      </c>
      <c r="B173" t="s">
        <v>221</v>
      </c>
      <c r="C173" t="s">
        <v>17</v>
      </c>
      <c r="E173" t="s">
        <v>110</v>
      </c>
      <c r="F173" t="s">
        <v>67</v>
      </c>
      <c r="G173">
        <v>3</v>
      </c>
      <c r="H173">
        <v>20000</v>
      </c>
      <c r="I173">
        <v>60000</v>
      </c>
    </row>
    <row r="174" spans="1:9" x14ac:dyDescent="0.35">
      <c r="A174">
        <v>174</v>
      </c>
      <c r="C174" t="s">
        <v>19</v>
      </c>
      <c r="D174" t="s">
        <v>108</v>
      </c>
      <c r="E174" t="s">
        <v>110</v>
      </c>
    </row>
    <row r="175" spans="1:9" x14ac:dyDescent="0.35">
      <c r="A175">
        <v>175</v>
      </c>
      <c r="B175" t="s">
        <v>226</v>
      </c>
      <c r="C175" t="s">
        <v>17</v>
      </c>
      <c r="D175" t="s">
        <v>108</v>
      </c>
      <c r="E175" t="s">
        <v>65</v>
      </c>
      <c r="F175" t="s">
        <v>67</v>
      </c>
      <c r="G175">
        <v>3</v>
      </c>
    </row>
    <row r="176" spans="1:9" x14ac:dyDescent="0.35">
      <c r="A176">
        <v>176</v>
      </c>
      <c r="B176" t="s">
        <v>227</v>
      </c>
      <c r="C176" t="s">
        <v>58</v>
      </c>
      <c r="D176" t="s">
        <v>61</v>
      </c>
      <c r="F176" t="s">
        <v>68</v>
      </c>
      <c r="H176">
        <v>5000</v>
      </c>
    </row>
    <row r="177" spans="1:9" x14ac:dyDescent="0.35">
      <c r="A177">
        <v>177</v>
      </c>
      <c r="C177" t="s">
        <v>54</v>
      </c>
      <c r="D177" t="s">
        <v>72</v>
      </c>
      <c r="E177" t="s">
        <v>62</v>
      </c>
      <c r="F177" t="s">
        <v>68</v>
      </c>
    </row>
    <row r="178" spans="1:9" x14ac:dyDescent="0.35">
      <c r="A178">
        <v>178</v>
      </c>
      <c r="B178" t="s">
        <v>228</v>
      </c>
      <c r="D178" t="s">
        <v>59</v>
      </c>
      <c r="E178" t="s">
        <v>64</v>
      </c>
      <c r="F178" t="s">
        <v>67</v>
      </c>
      <c r="G178">
        <v>1</v>
      </c>
    </row>
    <row r="179" spans="1:9" x14ac:dyDescent="0.35">
      <c r="A179">
        <v>179</v>
      </c>
      <c r="B179" t="s">
        <v>229</v>
      </c>
      <c r="C179" t="s">
        <v>57</v>
      </c>
      <c r="D179" t="s">
        <v>72</v>
      </c>
      <c r="E179" t="s">
        <v>62</v>
      </c>
      <c r="F179" t="s">
        <v>68</v>
      </c>
      <c r="G179">
        <v>3</v>
      </c>
      <c r="H179">
        <v>20000</v>
      </c>
      <c r="I179">
        <v>60000</v>
      </c>
    </row>
    <row r="180" spans="1:9" x14ac:dyDescent="0.35">
      <c r="A180">
        <v>180</v>
      </c>
      <c r="B180" t="s">
        <v>140</v>
      </c>
      <c r="C180" t="s">
        <v>29</v>
      </c>
      <c r="D180" t="s">
        <v>59</v>
      </c>
      <c r="E180" t="s">
        <v>66</v>
      </c>
      <c r="F180" t="s">
        <v>68</v>
      </c>
      <c r="H180">
        <v>5000</v>
      </c>
    </row>
    <row r="181" spans="1:9" x14ac:dyDescent="0.35">
      <c r="A181">
        <v>181</v>
      </c>
      <c r="B181" t="s">
        <v>230</v>
      </c>
      <c r="C181" t="s">
        <v>48</v>
      </c>
      <c r="E181" t="s">
        <v>65</v>
      </c>
      <c r="F181" t="s">
        <v>68</v>
      </c>
      <c r="G181">
        <v>1</v>
      </c>
    </row>
    <row r="182" spans="1:9" x14ac:dyDescent="0.35">
      <c r="A182">
        <v>182</v>
      </c>
      <c r="C182" t="s">
        <v>24</v>
      </c>
      <c r="D182" t="s">
        <v>108</v>
      </c>
      <c r="E182" t="s">
        <v>110</v>
      </c>
      <c r="G182">
        <v>3</v>
      </c>
      <c r="H182">
        <v>20000</v>
      </c>
      <c r="I182">
        <v>60000</v>
      </c>
    </row>
    <row r="183" spans="1:9" x14ac:dyDescent="0.35">
      <c r="A183">
        <v>183</v>
      </c>
      <c r="B183" t="s">
        <v>231</v>
      </c>
      <c r="C183" t="s">
        <v>23</v>
      </c>
      <c r="E183" t="s">
        <v>66</v>
      </c>
      <c r="F183" t="s">
        <v>67</v>
      </c>
      <c r="H183" s="3">
        <v>10000</v>
      </c>
    </row>
    <row r="184" spans="1:9" x14ac:dyDescent="0.35">
      <c r="A184">
        <v>184</v>
      </c>
      <c r="B184" t="s">
        <v>127</v>
      </c>
      <c r="C184" t="s">
        <v>30</v>
      </c>
      <c r="E184" t="s">
        <v>63</v>
      </c>
      <c r="F184" t="s">
        <v>67</v>
      </c>
      <c r="G184">
        <v>3</v>
      </c>
      <c r="H184">
        <v>5000</v>
      </c>
      <c r="I184">
        <v>15000</v>
      </c>
    </row>
    <row r="185" spans="1:9" x14ac:dyDescent="0.35">
      <c r="A185">
        <v>185</v>
      </c>
      <c r="B185" t="s">
        <v>232</v>
      </c>
      <c r="C185" t="s">
        <v>32</v>
      </c>
      <c r="D185" t="s">
        <v>108</v>
      </c>
      <c r="F185" t="s">
        <v>68</v>
      </c>
      <c r="G185">
        <v>5</v>
      </c>
      <c r="H185">
        <v>1000</v>
      </c>
      <c r="I185">
        <v>5000</v>
      </c>
    </row>
    <row r="186" spans="1:9" x14ac:dyDescent="0.35">
      <c r="A186">
        <v>186</v>
      </c>
      <c r="B186" t="s">
        <v>233</v>
      </c>
      <c r="C186" t="s">
        <v>58</v>
      </c>
      <c r="D186" t="s">
        <v>60</v>
      </c>
      <c r="E186" t="s">
        <v>63</v>
      </c>
      <c r="G186">
        <v>3</v>
      </c>
    </row>
    <row r="187" spans="1:9" x14ac:dyDescent="0.35">
      <c r="A187">
        <v>187</v>
      </c>
      <c r="B187" t="s">
        <v>234</v>
      </c>
      <c r="C187" t="s">
        <v>33</v>
      </c>
      <c r="D187" t="s">
        <v>59</v>
      </c>
      <c r="E187" t="s">
        <v>64</v>
      </c>
      <c r="F187" t="s">
        <v>67</v>
      </c>
      <c r="G187">
        <v>3</v>
      </c>
      <c r="H187">
        <v>1000</v>
      </c>
      <c r="I187">
        <v>3000</v>
      </c>
    </row>
    <row r="188" spans="1:9" x14ac:dyDescent="0.35">
      <c r="A188">
        <v>188</v>
      </c>
      <c r="B188" t="s">
        <v>235</v>
      </c>
      <c r="C188" t="s">
        <v>29</v>
      </c>
      <c r="D188" t="s">
        <v>108</v>
      </c>
      <c r="E188" t="s">
        <v>110</v>
      </c>
      <c r="F188" t="s">
        <v>68</v>
      </c>
      <c r="G188">
        <v>5</v>
      </c>
      <c r="H188" s="3">
        <v>10000</v>
      </c>
    </row>
    <row r="189" spans="1:9" x14ac:dyDescent="0.35">
      <c r="A189">
        <v>189</v>
      </c>
      <c r="B189" t="s">
        <v>236</v>
      </c>
      <c r="C189" t="s">
        <v>15</v>
      </c>
      <c r="D189" t="s">
        <v>108</v>
      </c>
      <c r="E189" t="s">
        <v>66</v>
      </c>
      <c r="F189" t="s">
        <v>67</v>
      </c>
      <c r="G189">
        <v>1</v>
      </c>
    </row>
    <row r="190" spans="1:9" x14ac:dyDescent="0.35">
      <c r="A190">
        <v>190</v>
      </c>
      <c r="B190" t="s">
        <v>237</v>
      </c>
      <c r="C190" t="s">
        <v>30</v>
      </c>
      <c r="D190" t="s">
        <v>61</v>
      </c>
      <c r="E190" t="s">
        <v>110</v>
      </c>
      <c r="F190" t="s">
        <v>67</v>
      </c>
      <c r="G190">
        <v>4</v>
      </c>
      <c r="H190">
        <v>1000</v>
      </c>
      <c r="I190">
        <v>4000</v>
      </c>
    </row>
    <row r="191" spans="1:9" x14ac:dyDescent="0.35">
      <c r="A191">
        <v>191</v>
      </c>
      <c r="C191" t="s">
        <v>14</v>
      </c>
      <c r="D191" t="s">
        <v>108</v>
      </c>
      <c r="E191" t="s">
        <v>63</v>
      </c>
      <c r="G191">
        <v>3</v>
      </c>
      <c r="H191">
        <v>1000</v>
      </c>
      <c r="I191">
        <v>3000</v>
      </c>
    </row>
    <row r="192" spans="1:9" x14ac:dyDescent="0.35">
      <c r="A192">
        <v>192</v>
      </c>
      <c r="C192" t="s">
        <v>9</v>
      </c>
      <c r="D192" t="s">
        <v>59</v>
      </c>
      <c r="G192">
        <v>2</v>
      </c>
      <c r="H192">
        <v>1000</v>
      </c>
      <c r="I192">
        <v>2000</v>
      </c>
    </row>
    <row r="193" spans="1:9" x14ac:dyDescent="0.35">
      <c r="A193">
        <v>193</v>
      </c>
      <c r="B193" t="s">
        <v>157</v>
      </c>
      <c r="C193" t="s">
        <v>40</v>
      </c>
      <c r="E193" t="s">
        <v>64</v>
      </c>
      <c r="F193" t="s">
        <v>67</v>
      </c>
      <c r="G193">
        <v>2</v>
      </c>
      <c r="H193">
        <v>1000</v>
      </c>
    </row>
    <row r="194" spans="1:9" x14ac:dyDescent="0.35">
      <c r="A194">
        <v>194</v>
      </c>
      <c r="B194" t="s">
        <v>216</v>
      </c>
      <c r="C194" t="s">
        <v>46</v>
      </c>
      <c r="D194" t="s">
        <v>59</v>
      </c>
      <c r="E194" t="s">
        <v>64</v>
      </c>
      <c r="F194" t="s">
        <v>67</v>
      </c>
      <c r="G194">
        <v>4</v>
      </c>
      <c r="H194">
        <v>5000</v>
      </c>
      <c r="I194">
        <v>20000</v>
      </c>
    </row>
    <row r="195" spans="1:9" x14ac:dyDescent="0.35">
      <c r="A195">
        <v>195</v>
      </c>
      <c r="B195" t="s">
        <v>238</v>
      </c>
      <c r="D195" t="s">
        <v>72</v>
      </c>
      <c r="E195" t="s">
        <v>62</v>
      </c>
      <c r="F195" t="s">
        <v>68</v>
      </c>
      <c r="G195">
        <v>2</v>
      </c>
      <c r="H195">
        <v>5000</v>
      </c>
    </row>
    <row r="196" spans="1:9" x14ac:dyDescent="0.35">
      <c r="A196">
        <v>196</v>
      </c>
      <c r="B196" t="s">
        <v>239</v>
      </c>
      <c r="C196" t="s">
        <v>24</v>
      </c>
      <c r="D196" t="s">
        <v>60</v>
      </c>
      <c r="E196" t="s">
        <v>65</v>
      </c>
      <c r="G196">
        <v>1</v>
      </c>
      <c r="H196">
        <v>20000</v>
      </c>
      <c r="I196">
        <v>20000</v>
      </c>
    </row>
    <row r="197" spans="1:9" x14ac:dyDescent="0.35">
      <c r="A197">
        <v>197</v>
      </c>
      <c r="B197" t="s">
        <v>193</v>
      </c>
      <c r="C197" t="s">
        <v>10</v>
      </c>
      <c r="D197" t="s">
        <v>72</v>
      </c>
      <c r="E197" t="s">
        <v>66</v>
      </c>
      <c r="F197" t="s">
        <v>67</v>
      </c>
      <c r="G197">
        <v>2</v>
      </c>
    </row>
    <row r="198" spans="1:9" x14ac:dyDescent="0.35">
      <c r="A198">
        <v>198</v>
      </c>
      <c r="B198" t="s">
        <v>240</v>
      </c>
      <c r="C198" t="s">
        <v>23</v>
      </c>
      <c r="D198" t="s">
        <v>60</v>
      </c>
      <c r="E198" t="s">
        <v>65</v>
      </c>
      <c r="F198" t="s">
        <v>67</v>
      </c>
      <c r="G198">
        <v>3</v>
      </c>
      <c r="H198">
        <v>30000</v>
      </c>
      <c r="I198">
        <v>90000</v>
      </c>
    </row>
    <row r="199" spans="1:9" x14ac:dyDescent="0.35">
      <c r="A199">
        <v>199</v>
      </c>
      <c r="B199" t="s">
        <v>241</v>
      </c>
      <c r="C199" t="s">
        <v>12</v>
      </c>
      <c r="D199" t="s">
        <v>108</v>
      </c>
      <c r="E199" t="s">
        <v>65</v>
      </c>
      <c r="F199" t="s">
        <v>68</v>
      </c>
    </row>
    <row r="200" spans="1:9" x14ac:dyDescent="0.35">
      <c r="A200">
        <v>200</v>
      </c>
      <c r="B200" t="s">
        <v>242</v>
      </c>
      <c r="C200" t="s">
        <v>29</v>
      </c>
      <c r="D200" t="s">
        <v>61</v>
      </c>
      <c r="E200" t="s">
        <v>65</v>
      </c>
      <c r="G200">
        <v>3</v>
      </c>
      <c r="H200">
        <v>20000</v>
      </c>
      <c r="I200">
        <v>60000</v>
      </c>
    </row>
    <row r="201" spans="1:9" x14ac:dyDescent="0.35">
      <c r="A201">
        <v>201</v>
      </c>
      <c r="B201" t="s">
        <v>123</v>
      </c>
      <c r="C201" t="s">
        <v>17</v>
      </c>
      <c r="D201" t="s">
        <v>59</v>
      </c>
      <c r="H201" s="3">
        <v>10000</v>
      </c>
    </row>
    <row r="202" spans="1:9" x14ac:dyDescent="0.35">
      <c r="A202">
        <v>202</v>
      </c>
      <c r="B202" t="s">
        <v>243</v>
      </c>
      <c r="C202" t="s">
        <v>16</v>
      </c>
      <c r="D202" t="s">
        <v>59</v>
      </c>
      <c r="E202" t="s">
        <v>66</v>
      </c>
      <c r="F202" t="s">
        <v>67</v>
      </c>
      <c r="H202">
        <v>1000</v>
      </c>
    </row>
    <row r="203" spans="1:9" x14ac:dyDescent="0.35">
      <c r="A203">
        <v>203</v>
      </c>
      <c r="B203" t="s">
        <v>244</v>
      </c>
      <c r="E203" t="s">
        <v>63</v>
      </c>
      <c r="F203" t="s">
        <v>68</v>
      </c>
      <c r="G203">
        <v>2</v>
      </c>
      <c r="H203">
        <v>1000</v>
      </c>
    </row>
    <row r="204" spans="1:9" x14ac:dyDescent="0.35">
      <c r="A204">
        <v>204</v>
      </c>
      <c r="B204" t="s">
        <v>245</v>
      </c>
      <c r="C204" t="s">
        <v>13</v>
      </c>
      <c r="D204" t="s">
        <v>72</v>
      </c>
      <c r="E204" t="s">
        <v>62</v>
      </c>
      <c r="G204">
        <v>1</v>
      </c>
      <c r="H204" s="3">
        <v>10000</v>
      </c>
    </row>
    <row r="205" spans="1:9" x14ac:dyDescent="0.35">
      <c r="A205">
        <v>205</v>
      </c>
      <c r="B205" t="s">
        <v>246</v>
      </c>
      <c r="C205" t="s">
        <v>57</v>
      </c>
      <c r="D205" t="s">
        <v>72</v>
      </c>
      <c r="E205" t="s">
        <v>63</v>
      </c>
      <c r="F205" t="s">
        <v>68</v>
      </c>
      <c r="G205">
        <v>5</v>
      </c>
    </row>
    <row r="206" spans="1:9" x14ac:dyDescent="0.35">
      <c r="A206">
        <v>206</v>
      </c>
      <c r="B206" t="s">
        <v>247</v>
      </c>
      <c r="C206" t="s">
        <v>52</v>
      </c>
      <c r="E206" t="s">
        <v>62</v>
      </c>
      <c r="G206">
        <v>1</v>
      </c>
      <c r="H206">
        <v>30000</v>
      </c>
      <c r="I206">
        <v>30000</v>
      </c>
    </row>
    <row r="207" spans="1:9" x14ac:dyDescent="0.35">
      <c r="A207">
        <v>207</v>
      </c>
      <c r="B207" t="s">
        <v>136</v>
      </c>
      <c r="C207" t="s">
        <v>22</v>
      </c>
      <c r="D207" t="s">
        <v>60</v>
      </c>
      <c r="E207" t="s">
        <v>110</v>
      </c>
      <c r="G207">
        <v>3</v>
      </c>
    </row>
    <row r="208" spans="1:9" x14ac:dyDescent="0.35">
      <c r="A208">
        <v>208</v>
      </c>
      <c r="B208" t="s">
        <v>248</v>
      </c>
      <c r="D208" t="s">
        <v>59</v>
      </c>
      <c r="E208" t="s">
        <v>65</v>
      </c>
      <c r="F208" t="s">
        <v>67</v>
      </c>
      <c r="G208">
        <v>4</v>
      </c>
    </row>
    <row r="209" spans="1:9" x14ac:dyDescent="0.35">
      <c r="A209">
        <v>209</v>
      </c>
      <c r="B209" t="s">
        <v>249</v>
      </c>
      <c r="C209" t="s">
        <v>23</v>
      </c>
      <c r="D209" t="s">
        <v>60</v>
      </c>
      <c r="E209" t="s">
        <v>65</v>
      </c>
      <c r="F209" t="s">
        <v>68</v>
      </c>
      <c r="G209">
        <v>4</v>
      </c>
    </row>
    <row r="210" spans="1:9" x14ac:dyDescent="0.35">
      <c r="A210">
        <v>210</v>
      </c>
      <c r="B210" t="s">
        <v>250</v>
      </c>
      <c r="C210" t="s">
        <v>46</v>
      </c>
      <c r="D210" t="s">
        <v>59</v>
      </c>
      <c r="E210" t="s">
        <v>62</v>
      </c>
      <c r="F210" t="s">
        <v>68</v>
      </c>
      <c r="G210">
        <v>2</v>
      </c>
      <c r="H210" s="3">
        <v>10000</v>
      </c>
    </row>
    <row r="211" spans="1:9" x14ac:dyDescent="0.35">
      <c r="A211">
        <v>211</v>
      </c>
      <c r="C211" t="s">
        <v>57</v>
      </c>
      <c r="D211" t="s">
        <v>72</v>
      </c>
      <c r="F211" t="s">
        <v>67</v>
      </c>
      <c r="H211">
        <v>30000</v>
      </c>
    </row>
    <row r="212" spans="1:9" x14ac:dyDescent="0.35">
      <c r="A212">
        <v>212</v>
      </c>
      <c r="B212" t="s">
        <v>251</v>
      </c>
      <c r="C212" t="s">
        <v>48</v>
      </c>
      <c r="D212" t="s">
        <v>61</v>
      </c>
      <c r="E212" t="s">
        <v>62</v>
      </c>
      <c r="G212">
        <v>1</v>
      </c>
      <c r="H212">
        <v>30000</v>
      </c>
      <c r="I212">
        <v>30000</v>
      </c>
    </row>
    <row r="213" spans="1:9" x14ac:dyDescent="0.35">
      <c r="A213">
        <v>213</v>
      </c>
      <c r="B213" t="s">
        <v>150</v>
      </c>
      <c r="C213" t="s">
        <v>22</v>
      </c>
      <c r="F213" t="s">
        <v>67</v>
      </c>
      <c r="G213">
        <v>3</v>
      </c>
    </row>
    <row r="214" spans="1:9" x14ac:dyDescent="0.35">
      <c r="A214">
        <v>214</v>
      </c>
      <c r="B214" t="s">
        <v>252</v>
      </c>
      <c r="C214" t="s">
        <v>13</v>
      </c>
      <c r="D214" t="s">
        <v>60</v>
      </c>
      <c r="E214" t="s">
        <v>63</v>
      </c>
      <c r="F214" t="s">
        <v>68</v>
      </c>
      <c r="G214">
        <v>1</v>
      </c>
      <c r="H214">
        <v>5000</v>
      </c>
      <c r="I214">
        <v>5000</v>
      </c>
    </row>
    <row r="215" spans="1:9" x14ac:dyDescent="0.35">
      <c r="A215">
        <v>215</v>
      </c>
      <c r="B215" t="s">
        <v>131</v>
      </c>
      <c r="C215" t="s">
        <v>39</v>
      </c>
      <c r="D215" t="s">
        <v>61</v>
      </c>
      <c r="E215" t="s">
        <v>62</v>
      </c>
      <c r="F215" t="s">
        <v>68</v>
      </c>
      <c r="G215">
        <v>2</v>
      </c>
      <c r="H215" s="3">
        <v>10000</v>
      </c>
    </row>
    <row r="216" spans="1:9" x14ac:dyDescent="0.35">
      <c r="A216">
        <v>216</v>
      </c>
      <c r="B216" t="s">
        <v>225</v>
      </c>
      <c r="C216" t="s">
        <v>47</v>
      </c>
      <c r="D216" t="s">
        <v>59</v>
      </c>
      <c r="F216" t="s">
        <v>68</v>
      </c>
      <c r="G216">
        <v>1</v>
      </c>
      <c r="H216">
        <v>30000</v>
      </c>
      <c r="I216">
        <v>30000</v>
      </c>
    </row>
    <row r="217" spans="1:9" x14ac:dyDescent="0.35">
      <c r="A217">
        <v>217</v>
      </c>
      <c r="B217" t="s">
        <v>194</v>
      </c>
      <c r="C217" t="s">
        <v>56</v>
      </c>
      <c r="D217" t="s">
        <v>72</v>
      </c>
      <c r="E217" t="s">
        <v>63</v>
      </c>
      <c r="F217" t="s">
        <v>68</v>
      </c>
      <c r="H217">
        <v>30000</v>
      </c>
    </row>
    <row r="218" spans="1:9" x14ac:dyDescent="0.35">
      <c r="A218">
        <v>218</v>
      </c>
      <c r="B218" t="s">
        <v>253</v>
      </c>
      <c r="C218" t="s">
        <v>10</v>
      </c>
      <c r="D218" t="s">
        <v>108</v>
      </c>
      <c r="E218" t="s">
        <v>62</v>
      </c>
      <c r="F218" t="s">
        <v>68</v>
      </c>
      <c r="H218">
        <v>30000</v>
      </c>
    </row>
    <row r="219" spans="1:9" x14ac:dyDescent="0.35">
      <c r="A219">
        <v>219</v>
      </c>
      <c r="B219" t="s">
        <v>254</v>
      </c>
      <c r="C219" t="s">
        <v>33</v>
      </c>
      <c r="D219" t="s">
        <v>59</v>
      </c>
      <c r="E219" t="s">
        <v>110</v>
      </c>
      <c r="F219" t="s">
        <v>67</v>
      </c>
      <c r="G219">
        <v>2</v>
      </c>
      <c r="H219">
        <v>5000</v>
      </c>
      <c r="I219">
        <v>10000</v>
      </c>
    </row>
    <row r="220" spans="1:9" x14ac:dyDescent="0.35">
      <c r="A220">
        <v>220</v>
      </c>
      <c r="B220" t="s">
        <v>160</v>
      </c>
      <c r="C220" t="s">
        <v>57</v>
      </c>
      <c r="D220" t="s">
        <v>60</v>
      </c>
      <c r="E220" t="s">
        <v>65</v>
      </c>
      <c r="G220">
        <v>5</v>
      </c>
    </row>
    <row r="221" spans="1:9" x14ac:dyDescent="0.35">
      <c r="A221">
        <v>221</v>
      </c>
      <c r="B221" t="s">
        <v>255</v>
      </c>
      <c r="D221" t="s">
        <v>61</v>
      </c>
      <c r="E221" t="s">
        <v>63</v>
      </c>
      <c r="G221">
        <v>3</v>
      </c>
      <c r="H221">
        <v>5000</v>
      </c>
      <c r="I221">
        <v>15000</v>
      </c>
    </row>
    <row r="222" spans="1:9" x14ac:dyDescent="0.35">
      <c r="A222">
        <v>222</v>
      </c>
      <c r="B222" t="s">
        <v>256</v>
      </c>
      <c r="C222" t="s">
        <v>20</v>
      </c>
      <c r="D222" t="s">
        <v>60</v>
      </c>
      <c r="E222" t="s">
        <v>64</v>
      </c>
      <c r="F222" t="s">
        <v>67</v>
      </c>
      <c r="H222">
        <v>30000</v>
      </c>
    </row>
    <row r="223" spans="1:9" x14ac:dyDescent="0.35">
      <c r="A223">
        <v>223</v>
      </c>
      <c r="B223" t="s">
        <v>257</v>
      </c>
      <c r="C223" t="s">
        <v>48</v>
      </c>
      <c r="D223" t="s">
        <v>108</v>
      </c>
    </row>
    <row r="224" spans="1:9" x14ac:dyDescent="0.35">
      <c r="A224">
        <v>224</v>
      </c>
      <c r="B224" t="s">
        <v>132</v>
      </c>
      <c r="C224" t="s">
        <v>27</v>
      </c>
      <c r="E224" t="s">
        <v>66</v>
      </c>
      <c r="G224">
        <v>2</v>
      </c>
      <c r="H224" s="3">
        <v>10000</v>
      </c>
    </row>
    <row r="225" spans="1:9" x14ac:dyDescent="0.35">
      <c r="A225">
        <v>225</v>
      </c>
      <c r="B225" t="s">
        <v>258</v>
      </c>
      <c r="C225" t="s">
        <v>57</v>
      </c>
      <c r="D225" t="s">
        <v>61</v>
      </c>
      <c r="E225" t="s">
        <v>62</v>
      </c>
      <c r="F225" t="s">
        <v>68</v>
      </c>
      <c r="G225">
        <v>5</v>
      </c>
      <c r="H225">
        <v>5000</v>
      </c>
      <c r="I225">
        <v>25000</v>
      </c>
    </row>
    <row r="226" spans="1:9" x14ac:dyDescent="0.35">
      <c r="A226">
        <v>226</v>
      </c>
      <c r="B226" t="s">
        <v>259</v>
      </c>
      <c r="C226" t="s">
        <v>48</v>
      </c>
      <c r="D226" t="s">
        <v>60</v>
      </c>
      <c r="E226" t="s">
        <v>65</v>
      </c>
      <c r="F226" t="s">
        <v>67</v>
      </c>
      <c r="G226">
        <v>2</v>
      </c>
      <c r="H226">
        <v>1000</v>
      </c>
      <c r="I226">
        <v>2000</v>
      </c>
    </row>
    <row r="227" spans="1:9" x14ac:dyDescent="0.35">
      <c r="A227">
        <v>227</v>
      </c>
      <c r="C227" t="s">
        <v>41</v>
      </c>
      <c r="E227" t="s">
        <v>63</v>
      </c>
      <c r="F227" t="s">
        <v>68</v>
      </c>
      <c r="G227">
        <v>3</v>
      </c>
      <c r="H227">
        <v>20000</v>
      </c>
      <c r="I227">
        <v>60000</v>
      </c>
    </row>
    <row r="228" spans="1:9" x14ac:dyDescent="0.35">
      <c r="A228">
        <v>228</v>
      </c>
      <c r="B228" t="s">
        <v>260</v>
      </c>
      <c r="C228" t="s">
        <v>42</v>
      </c>
      <c r="D228" t="s">
        <v>59</v>
      </c>
      <c r="E228" t="s">
        <v>62</v>
      </c>
      <c r="F228" t="s">
        <v>68</v>
      </c>
      <c r="H228">
        <v>5000</v>
      </c>
    </row>
    <row r="229" spans="1:9" x14ac:dyDescent="0.35">
      <c r="A229">
        <v>229</v>
      </c>
      <c r="B229" t="s">
        <v>261</v>
      </c>
      <c r="C229" t="s">
        <v>40</v>
      </c>
      <c r="D229" t="s">
        <v>61</v>
      </c>
      <c r="E229" t="s">
        <v>110</v>
      </c>
      <c r="F229" t="s">
        <v>68</v>
      </c>
      <c r="G229">
        <v>1</v>
      </c>
    </row>
    <row r="230" spans="1:9" x14ac:dyDescent="0.35">
      <c r="A230">
        <v>230</v>
      </c>
      <c r="B230" t="s">
        <v>208</v>
      </c>
      <c r="C230" t="s">
        <v>39</v>
      </c>
      <c r="D230" t="s">
        <v>59</v>
      </c>
      <c r="E230" t="s">
        <v>65</v>
      </c>
    </row>
    <row r="231" spans="1:9" x14ac:dyDescent="0.35">
      <c r="A231">
        <v>231</v>
      </c>
      <c r="B231" t="s">
        <v>262</v>
      </c>
      <c r="C231" t="s">
        <v>22</v>
      </c>
      <c r="D231" t="s">
        <v>61</v>
      </c>
      <c r="G231">
        <v>5</v>
      </c>
      <c r="H231">
        <v>20000</v>
      </c>
      <c r="I231">
        <v>100000</v>
      </c>
    </row>
    <row r="232" spans="1:9" x14ac:dyDescent="0.35">
      <c r="A232">
        <v>232</v>
      </c>
      <c r="B232" t="s">
        <v>263</v>
      </c>
      <c r="C232" t="s">
        <v>31</v>
      </c>
      <c r="D232" t="s">
        <v>61</v>
      </c>
      <c r="E232" t="s">
        <v>63</v>
      </c>
      <c r="F232" t="s">
        <v>67</v>
      </c>
      <c r="G232">
        <v>2</v>
      </c>
      <c r="H232" s="3">
        <v>10000</v>
      </c>
    </row>
    <row r="233" spans="1:9" x14ac:dyDescent="0.35">
      <c r="A233">
        <v>233</v>
      </c>
      <c r="C233" t="s">
        <v>53</v>
      </c>
      <c r="D233" t="s">
        <v>72</v>
      </c>
      <c r="E233" t="s">
        <v>66</v>
      </c>
      <c r="F233" t="s">
        <v>68</v>
      </c>
      <c r="G233">
        <v>2</v>
      </c>
      <c r="H233">
        <v>5000</v>
      </c>
      <c r="I233">
        <v>10000</v>
      </c>
    </row>
    <row r="234" spans="1:9" x14ac:dyDescent="0.35">
      <c r="A234">
        <v>234</v>
      </c>
      <c r="B234" t="s">
        <v>264</v>
      </c>
      <c r="C234" t="s">
        <v>46</v>
      </c>
      <c r="D234" t="s">
        <v>61</v>
      </c>
      <c r="E234" t="s">
        <v>110</v>
      </c>
      <c r="F234" t="s">
        <v>67</v>
      </c>
      <c r="H234">
        <v>1000</v>
      </c>
    </row>
    <row r="235" spans="1:9" x14ac:dyDescent="0.35">
      <c r="A235">
        <v>235</v>
      </c>
      <c r="B235" t="s">
        <v>265</v>
      </c>
      <c r="C235" t="s">
        <v>17</v>
      </c>
      <c r="D235" t="s">
        <v>61</v>
      </c>
      <c r="E235" t="s">
        <v>62</v>
      </c>
      <c r="F235" t="s">
        <v>68</v>
      </c>
      <c r="G235">
        <v>3</v>
      </c>
    </row>
    <row r="236" spans="1:9" x14ac:dyDescent="0.35">
      <c r="A236">
        <v>236</v>
      </c>
      <c r="C236" t="s">
        <v>23</v>
      </c>
      <c r="D236" t="s">
        <v>61</v>
      </c>
      <c r="F236" t="s">
        <v>68</v>
      </c>
      <c r="G236">
        <v>5</v>
      </c>
    </row>
    <row r="237" spans="1:9" x14ac:dyDescent="0.35">
      <c r="A237">
        <v>237</v>
      </c>
      <c r="B237" t="s">
        <v>231</v>
      </c>
      <c r="C237" t="s">
        <v>16</v>
      </c>
      <c r="D237" t="s">
        <v>60</v>
      </c>
      <c r="E237" t="s">
        <v>62</v>
      </c>
      <c r="F237" t="s">
        <v>67</v>
      </c>
      <c r="G237">
        <v>2</v>
      </c>
    </row>
    <row r="238" spans="1:9" x14ac:dyDescent="0.35">
      <c r="A238">
        <v>238</v>
      </c>
      <c r="B238" t="s">
        <v>266</v>
      </c>
      <c r="C238" t="s">
        <v>31</v>
      </c>
      <c r="D238" t="s">
        <v>59</v>
      </c>
      <c r="E238" t="s">
        <v>63</v>
      </c>
      <c r="F238" t="s">
        <v>68</v>
      </c>
      <c r="G238">
        <v>5</v>
      </c>
      <c r="H238" s="3">
        <v>10000</v>
      </c>
    </row>
    <row r="239" spans="1:9" x14ac:dyDescent="0.35">
      <c r="A239">
        <v>239</v>
      </c>
      <c r="B239" t="s">
        <v>267</v>
      </c>
      <c r="C239" t="s">
        <v>21</v>
      </c>
      <c r="D239" t="s">
        <v>108</v>
      </c>
      <c r="E239" t="s">
        <v>66</v>
      </c>
      <c r="F239" t="s">
        <v>67</v>
      </c>
      <c r="H239" s="3">
        <v>10000</v>
      </c>
    </row>
    <row r="240" spans="1:9" x14ac:dyDescent="0.35">
      <c r="A240">
        <v>240</v>
      </c>
      <c r="B240" t="s">
        <v>268</v>
      </c>
      <c r="C240" t="s">
        <v>12</v>
      </c>
      <c r="D240" t="s">
        <v>72</v>
      </c>
      <c r="E240" t="s">
        <v>110</v>
      </c>
      <c r="F240" t="s">
        <v>68</v>
      </c>
    </row>
    <row r="241" spans="1:9" x14ac:dyDescent="0.35">
      <c r="A241">
        <v>241</v>
      </c>
      <c r="B241" t="s">
        <v>269</v>
      </c>
      <c r="C241" t="s">
        <v>10</v>
      </c>
      <c r="D241" t="s">
        <v>108</v>
      </c>
      <c r="E241" t="s">
        <v>110</v>
      </c>
      <c r="H241" s="3">
        <v>10000</v>
      </c>
    </row>
    <row r="242" spans="1:9" x14ac:dyDescent="0.35">
      <c r="A242">
        <v>242</v>
      </c>
      <c r="B242" t="s">
        <v>139</v>
      </c>
      <c r="C242" t="s">
        <v>16</v>
      </c>
      <c r="D242" t="s">
        <v>61</v>
      </c>
      <c r="F242" t="s">
        <v>68</v>
      </c>
      <c r="G242">
        <v>1</v>
      </c>
      <c r="H242">
        <v>5000</v>
      </c>
      <c r="I242">
        <v>5000</v>
      </c>
    </row>
    <row r="243" spans="1:9" x14ac:dyDescent="0.35">
      <c r="A243">
        <v>243</v>
      </c>
      <c r="B243" t="s">
        <v>270</v>
      </c>
      <c r="C243" t="s">
        <v>55</v>
      </c>
      <c r="E243" t="s">
        <v>66</v>
      </c>
      <c r="F243" t="s">
        <v>68</v>
      </c>
    </row>
    <row r="244" spans="1:9" x14ac:dyDescent="0.35">
      <c r="A244">
        <v>244</v>
      </c>
      <c r="B244" t="s">
        <v>271</v>
      </c>
      <c r="C244" t="s">
        <v>43</v>
      </c>
      <c r="D244" t="s">
        <v>60</v>
      </c>
      <c r="E244" t="s">
        <v>65</v>
      </c>
      <c r="F244" t="s">
        <v>67</v>
      </c>
      <c r="G244">
        <v>1</v>
      </c>
    </row>
    <row r="245" spans="1:9" x14ac:dyDescent="0.35">
      <c r="A245">
        <v>245</v>
      </c>
      <c r="B245" t="s">
        <v>272</v>
      </c>
      <c r="D245" t="s">
        <v>60</v>
      </c>
      <c r="E245" t="s">
        <v>63</v>
      </c>
      <c r="F245" t="s">
        <v>68</v>
      </c>
      <c r="G245">
        <v>2</v>
      </c>
    </row>
    <row r="246" spans="1:9" x14ac:dyDescent="0.35">
      <c r="A246">
        <v>246</v>
      </c>
      <c r="B246" t="s">
        <v>161</v>
      </c>
      <c r="C246" t="s">
        <v>40</v>
      </c>
      <c r="D246" t="s">
        <v>59</v>
      </c>
      <c r="E246" t="s">
        <v>63</v>
      </c>
      <c r="F246" t="s">
        <v>67</v>
      </c>
      <c r="G246">
        <v>2</v>
      </c>
      <c r="H246" s="3">
        <v>10000</v>
      </c>
    </row>
    <row r="247" spans="1:9" x14ac:dyDescent="0.35">
      <c r="A247">
        <v>247</v>
      </c>
      <c r="B247" t="s">
        <v>106</v>
      </c>
      <c r="D247" t="s">
        <v>59</v>
      </c>
      <c r="E247" t="s">
        <v>65</v>
      </c>
      <c r="F247" t="s">
        <v>67</v>
      </c>
      <c r="G247">
        <v>2</v>
      </c>
      <c r="H247">
        <v>20000</v>
      </c>
      <c r="I247">
        <v>40000</v>
      </c>
    </row>
    <row r="248" spans="1:9" x14ac:dyDescent="0.35">
      <c r="A248">
        <v>248</v>
      </c>
      <c r="B248" t="s">
        <v>178</v>
      </c>
      <c r="C248" t="s">
        <v>33</v>
      </c>
      <c r="D248" t="s">
        <v>72</v>
      </c>
      <c r="E248" t="s">
        <v>63</v>
      </c>
      <c r="F248" t="s">
        <v>68</v>
      </c>
      <c r="G248">
        <v>1</v>
      </c>
      <c r="H248">
        <v>30000</v>
      </c>
      <c r="I248">
        <v>30000</v>
      </c>
    </row>
    <row r="249" spans="1:9" x14ac:dyDescent="0.35">
      <c r="A249">
        <v>249</v>
      </c>
      <c r="B249" t="s">
        <v>178</v>
      </c>
      <c r="C249" t="s">
        <v>41</v>
      </c>
      <c r="D249" t="s">
        <v>59</v>
      </c>
      <c r="G249">
        <v>2</v>
      </c>
    </row>
    <row r="250" spans="1:9" x14ac:dyDescent="0.35">
      <c r="A250">
        <v>250</v>
      </c>
      <c r="B250" t="s">
        <v>264</v>
      </c>
      <c r="C250" t="s">
        <v>19</v>
      </c>
      <c r="D250" t="s">
        <v>59</v>
      </c>
      <c r="F250" t="s">
        <v>67</v>
      </c>
      <c r="G250">
        <v>2</v>
      </c>
      <c r="H250">
        <v>1000</v>
      </c>
    </row>
  </sheetData>
  <autoFilter ref="A1:J1" xr:uid="{5ED1C717-28C2-4B86-B9E1-515C945149FF}"/>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0A6D1-F776-44B2-B224-6AC89FD6E567}">
  <dimension ref="A1:A31"/>
  <sheetViews>
    <sheetView topLeftCell="A5" workbookViewId="0">
      <selection activeCell="D31" sqref="D31"/>
    </sheetView>
  </sheetViews>
  <sheetFormatPr defaultRowHeight="14.5" x14ac:dyDescent="0.35"/>
  <sheetData>
    <row r="1" spans="1:1" ht="20" x14ac:dyDescent="0.35">
      <c r="A1" s="29" t="s">
        <v>276</v>
      </c>
    </row>
    <row r="2" spans="1:1" x14ac:dyDescent="0.35">
      <c r="A2" s="30" t="s">
        <v>313</v>
      </c>
    </row>
    <row r="3" spans="1:1" x14ac:dyDescent="0.35">
      <c r="A3" s="30"/>
    </row>
    <row r="4" spans="1:1" ht="15.5" x14ac:dyDescent="0.35">
      <c r="A4" s="31" t="s">
        <v>277</v>
      </c>
    </row>
    <row r="5" spans="1:1" x14ac:dyDescent="0.35">
      <c r="A5" s="30" t="s">
        <v>278</v>
      </c>
    </row>
    <row r="6" spans="1:1" x14ac:dyDescent="0.35">
      <c r="A6" s="30" t="s">
        <v>312</v>
      </c>
    </row>
    <row r="7" spans="1:1" x14ac:dyDescent="0.35">
      <c r="A7" s="30" t="s">
        <v>279</v>
      </c>
    </row>
    <row r="8" spans="1:1" x14ac:dyDescent="0.35">
      <c r="A8" s="30" t="s">
        <v>280</v>
      </c>
    </row>
    <row r="9" spans="1:1" x14ac:dyDescent="0.35">
      <c r="A9" s="30" t="s">
        <v>311</v>
      </c>
    </row>
    <row r="10" spans="1:1" x14ac:dyDescent="0.35">
      <c r="A10" s="30" t="s">
        <v>310</v>
      </c>
    </row>
    <row r="11" spans="1:1" x14ac:dyDescent="0.35">
      <c r="A11" s="30" t="s">
        <v>281</v>
      </c>
    </row>
    <row r="12" spans="1:1" x14ac:dyDescent="0.35">
      <c r="A12" s="30" t="s">
        <v>282</v>
      </c>
    </row>
    <row r="13" spans="1:1" x14ac:dyDescent="0.35">
      <c r="A13" s="30" t="s">
        <v>307</v>
      </c>
    </row>
    <row r="14" spans="1:1" x14ac:dyDescent="0.35">
      <c r="A14" s="30" t="s">
        <v>283</v>
      </c>
    </row>
    <row r="15" spans="1:1" x14ac:dyDescent="0.35">
      <c r="A15" s="30" t="s">
        <v>284</v>
      </c>
    </row>
    <row r="16" spans="1:1" x14ac:dyDescent="0.35">
      <c r="A16" s="30"/>
    </row>
    <row r="17" spans="1:1" ht="15.5" x14ac:dyDescent="0.35">
      <c r="A17" s="31" t="s">
        <v>285</v>
      </c>
    </row>
    <row r="18" spans="1:1" x14ac:dyDescent="0.35">
      <c r="A18" s="30" t="s">
        <v>287</v>
      </c>
    </row>
    <row r="19" spans="1:1" x14ac:dyDescent="0.35">
      <c r="A19" s="30" t="s">
        <v>288</v>
      </c>
    </row>
    <row r="20" spans="1:1" x14ac:dyDescent="0.35">
      <c r="A20" s="30" t="s">
        <v>289</v>
      </c>
    </row>
    <row r="21" spans="1:1" x14ac:dyDescent="0.35">
      <c r="A21" s="30" t="s">
        <v>290</v>
      </c>
    </row>
    <row r="22" spans="1:1" x14ac:dyDescent="0.35">
      <c r="A22" s="30" t="s">
        <v>291</v>
      </c>
    </row>
    <row r="23" spans="1:1" x14ac:dyDescent="0.35">
      <c r="A23" s="30" t="s">
        <v>292</v>
      </c>
    </row>
    <row r="24" spans="1:1" x14ac:dyDescent="0.35">
      <c r="A24" s="30" t="s">
        <v>293</v>
      </c>
    </row>
    <row r="25" spans="1:1" x14ac:dyDescent="0.35">
      <c r="A25" s="30"/>
    </row>
    <row r="26" spans="1:1" ht="15.5" x14ac:dyDescent="0.35">
      <c r="A26" s="31" t="s">
        <v>286</v>
      </c>
    </row>
    <row r="27" spans="1:1" x14ac:dyDescent="0.35">
      <c r="A27" s="30" t="s">
        <v>294</v>
      </c>
    </row>
    <row r="28" spans="1:1" x14ac:dyDescent="0.35">
      <c r="A28" s="30" t="s">
        <v>295</v>
      </c>
    </row>
    <row r="29" spans="1:1" x14ac:dyDescent="0.35">
      <c r="A29" s="30" t="s">
        <v>296</v>
      </c>
    </row>
    <row r="30" spans="1:1" x14ac:dyDescent="0.35">
      <c r="A30" s="30"/>
    </row>
    <row r="31" spans="1:1" x14ac:dyDescent="0.35">
      <c r="A31"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workbookViewId="0">
      <selection activeCell="B255" sqref="B255"/>
    </sheetView>
  </sheetViews>
  <sheetFormatPr defaultRowHeight="14.5" x14ac:dyDescent="0.35"/>
  <cols>
    <col min="1" max="1" width="16.36328125" bestFit="1" customWidth="1"/>
    <col min="2" max="2" width="19.1796875" style="4" bestFit="1" customWidth="1"/>
    <col min="3" max="3" width="24.90625" bestFit="1" customWidth="1"/>
    <col min="4" max="4" width="14" bestFit="1" customWidth="1"/>
    <col min="5" max="5" width="15.81640625" bestFit="1" customWidth="1"/>
    <col min="6" max="6" width="16.7265625" bestFit="1" customWidth="1"/>
    <col min="7" max="7" width="15.90625" bestFit="1" customWidth="1"/>
    <col min="8" max="8" width="11.81640625" bestFit="1" customWidth="1"/>
    <col min="9" max="9" width="11.7265625" bestFit="1" customWidth="1"/>
    <col min="10" max="10" width="11.1796875" bestFit="1" customWidth="1"/>
    <col min="11" max="11" width="13.36328125" bestFit="1" customWidth="1"/>
    <col min="12" max="12" width="15" bestFit="1" customWidth="1"/>
    <col min="13" max="13" width="54.1796875" bestFit="1" customWidth="1"/>
    <col min="14" max="14" width="21.90625" bestFit="1" customWidth="1"/>
    <col min="15" max="15" width="17.6328125" bestFit="1" customWidth="1"/>
    <col min="17" max="17" width="14.1796875" customWidth="1"/>
  </cols>
  <sheetData>
    <row r="1" spans="1:15" ht="17.5" x14ac:dyDescent="0.35">
      <c r="A1" s="5" t="s">
        <v>0</v>
      </c>
      <c r="B1" s="6" t="s">
        <v>1</v>
      </c>
      <c r="C1" s="5" t="s">
        <v>2</v>
      </c>
      <c r="D1" s="5" t="s">
        <v>3</v>
      </c>
      <c r="E1" s="5" t="s">
        <v>4</v>
      </c>
      <c r="F1" s="5" t="s">
        <v>5</v>
      </c>
      <c r="G1" s="5" t="s">
        <v>6</v>
      </c>
      <c r="H1" s="5" t="s">
        <v>7</v>
      </c>
      <c r="I1" s="5" t="s">
        <v>8</v>
      </c>
      <c r="J1" s="5" t="s">
        <v>69</v>
      </c>
      <c r="K1" s="5" t="s">
        <v>70</v>
      </c>
      <c r="L1" s="5" t="s">
        <v>71</v>
      </c>
      <c r="M1" s="5" t="s">
        <v>297</v>
      </c>
      <c r="N1" s="5" t="s">
        <v>303</v>
      </c>
      <c r="O1" s="5" t="s">
        <v>304</v>
      </c>
    </row>
    <row r="2" spans="1:15" x14ac:dyDescent="0.35">
      <c r="A2" s="7">
        <v>1</v>
      </c>
      <c r="B2" s="8">
        <v>45171</v>
      </c>
      <c r="C2" s="7" t="s">
        <v>9</v>
      </c>
      <c r="D2" s="7" t="s">
        <v>59</v>
      </c>
      <c r="E2" s="7" t="s">
        <v>62</v>
      </c>
      <c r="F2" s="7" t="s">
        <v>67</v>
      </c>
      <c r="G2" s="7">
        <v>3</v>
      </c>
      <c r="H2" s="9">
        <v>10000</v>
      </c>
      <c r="I2" s="7">
        <f>G2*H2</f>
        <v>30000</v>
      </c>
      <c r="J2" s="7">
        <f>IF(B2="","Unknown",YEAR(B2))</f>
        <v>2023</v>
      </c>
      <c r="K2" s="7" t="str">
        <f>IF(B2="","Unknown",TEXT(B2,"mmmm"))</f>
        <v>September</v>
      </c>
      <c r="L2" s="7" t="str">
        <f>IF(B2="","Unknown","Q"&amp;ROUNDUP(MONTH(B2)/3,0))</f>
        <v>Q3</v>
      </c>
      <c r="M2" s="7" t="s">
        <v>305</v>
      </c>
      <c r="N2" s="7" t="s">
        <v>305</v>
      </c>
      <c r="O2" s="7" t="s">
        <v>305</v>
      </c>
    </row>
    <row r="3" spans="1:15" x14ac:dyDescent="0.35">
      <c r="A3" s="7">
        <v>2</v>
      </c>
      <c r="B3" s="8">
        <v>45124</v>
      </c>
      <c r="C3" s="7" t="s">
        <v>10</v>
      </c>
      <c r="D3" s="7" t="s">
        <v>59</v>
      </c>
      <c r="E3" s="7" t="s">
        <v>75</v>
      </c>
      <c r="F3" s="7" t="s">
        <v>68</v>
      </c>
      <c r="G3" s="7">
        <v>4</v>
      </c>
      <c r="H3" s="7">
        <v>5000</v>
      </c>
      <c r="I3" s="7">
        <f t="shared" ref="I3:I66" si="0">G3*H3</f>
        <v>20000</v>
      </c>
      <c r="J3" s="7">
        <f t="shared" ref="J3:J66" si="1">IF(B3="","Unknown",YEAR(B3))</f>
        <v>2023</v>
      </c>
      <c r="K3" s="7" t="str">
        <f t="shared" ref="K3:K66" si="2">IF(B3="","Unknown",TEXT(B3,"mmmm"))</f>
        <v>July</v>
      </c>
      <c r="L3" s="7" t="str">
        <f t="shared" ref="L3:L66" si="3">IF(B3="","Unknown","Q"&amp;ROUNDUP(MONTH(B3)/3,0))</f>
        <v>Q3</v>
      </c>
      <c r="M3" s="7" t="s">
        <v>298</v>
      </c>
      <c r="N3" s="7" t="s">
        <v>305</v>
      </c>
      <c r="O3" s="7" t="s">
        <v>305</v>
      </c>
    </row>
    <row r="4" spans="1:15" x14ac:dyDescent="0.35">
      <c r="A4" s="7">
        <v>3</v>
      </c>
      <c r="B4" s="8">
        <v>45281</v>
      </c>
      <c r="C4" s="7" t="s">
        <v>11</v>
      </c>
      <c r="D4" s="7" t="s">
        <v>59</v>
      </c>
      <c r="E4" s="7" t="s">
        <v>75</v>
      </c>
      <c r="F4" s="7" t="s">
        <v>68</v>
      </c>
      <c r="G4" s="7">
        <v>3</v>
      </c>
      <c r="H4" s="7">
        <v>1000</v>
      </c>
      <c r="I4" s="7">
        <f t="shared" si="0"/>
        <v>3000</v>
      </c>
      <c r="J4" s="7">
        <f t="shared" si="1"/>
        <v>2023</v>
      </c>
      <c r="K4" s="7" t="str">
        <f t="shared" si="2"/>
        <v>December</v>
      </c>
      <c r="L4" s="7" t="str">
        <f t="shared" si="3"/>
        <v>Q4</v>
      </c>
      <c r="M4" s="7" t="s">
        <v>298</v>
      </c>
      <c r="N4" s="7" t="s">
        <v>305</v>
      </c>
      <c r="O4" s="7" t="s">
        <v>305</v>
      </c>
    </row>
    <row r="5" spans="1:15" x14ac:dyDescent="0.35">
      <c r="A5" s="7">
        <v>4</v>
      </c>
      <c r="B5" s="8">
        <v>45253</v>
      </c>
      <c r="C5" s="7" t="s">
        <v>12</v>
      </c>
      <c r="D5" s="7" t="s">
        <v>72</v>
      </c>
      <c r="E5" s="7" t="s">
        <v>62</v>
      </c>
      <c r="F5" s="7" t="s">
        <v>68</v>
      </c>
      <c r="G5" s="7">
        <v>3</v>
      </c>
      <c r="H5" s="7">
        <v>10000</v>
      </c>
      <c r="I5" s="7">
        <f t="shared" si="0"/>
        <v>30000</v>
      </c>
      <c r="J5" s="7">
        <f t="shared" si="1"/>
        <v>2023</v>
      </c>
      <c r="K5" s="7" t="str">
        <f t="shared" si="2"/>
        <v>November</v>
      </c>
      <c r="L5" s="7" t="str">
        <f t="shared" si="3"/>
        <v>Q4</v>
      </c>
      <c r="M5" s="7" t="s">
        <v>308</v>
      </c>
      <c r="N5" s="7" t="s">
        <v>305</v>
      </c>
      <c r="O5" s="7" t="s">
        <v>306</v>
      </c>
    </row>
    <row r="6" spans="1:15" x14ac:dyDescent="0.35">
      <c r="A6" s="7">
        <v>5</v>
      </c>
      <c r="B6" s="8">
        <v>45154</v>
      </c>
      <c r="C6" s="7" t="s">
        <v>13</v>
      </c>
      <c r="D6" s="7" t="s">
        <v>72</v>
      </c>
      <c r="E6" s="7" t="s">
        <v>64</v>
      </c>
      <c r="F6" s="7" t="s">
        <v>67</v>
      </c>
      <c r="G6" s="7">
        <v>2</v>
      </c>
      <c r="H6" s="7">
        <v>10000</v>
      </c>
      <c r="I6" s="7">
        <f t="shared" si="0"/>
        <v>20000</v>
      </c>
      <c r="J6" s="7">
        <f t="shared" si="1"/>
        <v>2023</v>
      </c>
      <c r="K6" s="7" t="str">
        <f t="shared" si="2"/>
        <v>August</v>
      </c>
      <c r="L6" s="7" t="str">
        <f t="shared" si="3"/>
        <v>Q3</v>
      </c>
      <c r="M6" s="7" t="s">
        <v>305</v>
      </c>
      <c r="N6" s="7" t="s">
        <v>305</v>
      </c>
      <c r="O6" s="7" t="s">
        <v>306</v>
      </c>
    </row>
    <row r="7" spans="1:15" x14ac:dyDescent="0.35">
      <c r="A7" s="7">
        <v>6</v>
      </c>
      <c r="B7" s="8">
        <v>44993</v>
      </c>
      <c r="C7" s="7" t="s">
        <v>14</v>
      </c>
      <c r="D7" s="7" t="s">
        <v>72</v>
      </c>
      <c r="E7" s="7" t="s">
        <v>63</v>
      </c>
      <c r="F7" s="7" t="s">
        <v>67</v>
      </c>
      <c r="G7" s="7">
        <v>3</v>
      </c>
      <c r="H7" s="7">
        <v>30000</v>
      </c>
      <c r="I7" s="7">
        <f t="shared" si="0"/>
        <v>90000</v>
      </c>
      <c r="J7" s="7">
        <f t="shared" si="1"/>
        <v>2023</v>
      </c>
      <c r="K7" s="7" t="str">
        <f t="shared" si="2"/>
        <v>March</v>
      </c>
      <c r="L7" s="7" t="str">
        <f t="shared" si="3"/>
        <v>Q1</v>
      </c>
      <c r="M7" s="7" t="s">
        <v>305</v>
      </c>
      <c r="N7" s="7" t="s">
        <v>306</v>
      </c>
      <c r="O7" s="7" t="s">
        <v>305</v>
      </c>
    </row>
    <row r="8" spans="1:15" x14ac:dyDescent="0.35">
      <c r="A8" s="7">
        <v>7</v>
      </c>
      <c r="B8" s="8">
        <v>45096</v>
      </c>
      <c r="C8" s="7" t="s">
        <v>13</v>
      </c>
      <c r="D8" s="7" t="s">
        <v>72</v>
      </c>
      <c r="E8" s="7" t="s">
        <v>64</v>
      </c>
      <c r="F8" s="7" t="s">
        <v>67</v>
      </c>
      <c r="G8" s="7">
        <v>3</v>
      </c>
      <c r="H8" s="9">
        <v>10000</v>
      </c>
      <c r="I8" s="7">
        <f t="shared" si="0"/>
        <v>30000</v>
      </c>
      <c r="J8" s="7">
        <f t="shared" si="1"/>
        <v>2023</v>
      </c>
      <c r="K8" s="7" t="str">
        <f t="shared" si="2"/>
        <v>June</v>
      </c>
      <c r="L8" s="7" t="str">
        <f t="shared" si="3"/>
        <v>Q2</v>
      </c>
      <c r="M8" s="7" t="s">
        <v>309</v>
      </c>
      <c r="N8" s="7" t="s">
        <v>306</v>
      </c>
      <c r="O8" s="7" t="s">
        <v>305</v>
      </c>
    </row>
    <row r="9" spans="1:15" x14ac:dyDescent="0.35">
      <c r="A9" s="7">
        <v>8</v>
      </c>
      <c r="B9" s="8">
        <v>45054</v>
      </c>
      <c r="C9" s="7" t="s">
        <v>15</v>
      </c>
      <c r="D9" s="7" t="s">
        <v>60</v>
      </c>
      <c r="E9" s="7" t="s">
        <v>64</v>
      </c>
      <c r="F9" s="7" t="s">
        <v>68</v>
      </c>
      <c r="G9" s="7">
        <v>3</v>
      </c>
      <c r="H9" s="9">
        <v>10000</v>
      </c>
      <c r="I9" s="7">
        <f t="shared" si="0"/>
        <v>30000</v>
      </c>
      <c r="J9" s="7">
        <f t="shared" si="1"/>
        <v>2023</v>
      </c>
      <c r="K9" s="7" t="str">
        <f t="shared" si="2"/>
        <v>May</v>
      </c>
      <c r="L9" s="7" t="str">
        <f t="shared" si="3"/>
        <v>Q2</v>
      </c>
      <c r="M9" s="7" t="s">
        <v>305</v>
      </c>
      <c r="N9" s="7" t="s">
        <v>306</v>
      </c>
      <c r="O9" s="7" t="s">
        <v>305</v>
      </c>
    </row>
    <row r="10" spans="1:15" x14ac:dyDescent="0.35">
      <c r="A10" s="7">
        <v>9</v>
      </c>
      <c r="B10" s="8">
        <v>45170</v>
      </c>
      <c r="C10" s="7" t="s">
        <v>16</v>
      </c>
      <c r="D10" s="7" t="s">
        <v>60</v>
      </c>
      <c r="E10" s="7" t="s">
        <v>75</v>
      </c>
      <c r="F10" s="7" t="s">
        <v>76</v>
      </c>
      <c r="G10" s="7">
        <v>3</v>
      </c>
      <c r="H10" s="7">
        <v>5000</v>
      </c>
      <c r="I10" s="7">
        <f t="shared" si="0"/>
        <v>15000</v>
      </c>
      <c r="J10" s="7">
        <f t="shared" si="1"/>
        <v>2023</v>
      </c>
      <c r="K10" s="7" t="str">
        <f t="shared" si="2"/>
        <v>September</v>
      </c>
      <c r="L10" s="7" t="str">
        <f t="shared" si="3"/>
        <v>Q3</v>
      </c>
      <c r="M10" s="7" t="s">
        <v>299</v>
      </c>
      <c r="N10" s="7" t="s">
        <v>306</v>
      </c>
      <c r="O10" s="7" t="s">
        <v>305</v>
      </c>
    </row>
    <row r="11" spans="1:15" x14ac:dyDescent="0.35">
      <c r="A11" s="7">
        <v>10</v>
      </c>
      <c r="B11" s="8">
        <v>45027</v>
      </c>
      <c r="C11" s="7" t="s">
        <v>17</v>
      </c>
      <c r="D11" s="7" t="s">
        <v>59</v>
      </c>
      <c r="E11" s="7" t="s">
        <v>65</v>
      </c>
      <c r="F11" s="7" t="s">
        <v>68</v>
      </c>
      <c r="G11" s="7">
        <v>5</v>
      </c>
      <c r="H11" s="7">
        <v>10000</v>
      </c>
      <c r="I11" s="7">
        <f t="shared" si="0"/>
        <v>50000</v>
      </c>
      <c r="J11" s="7">
        <f t="shared" si="1"/>
        <v>2023</v>
      </c>
      <c r="K11" s="7" t="str">
        <f t="shared" si="2"/>
        <v>April</v>
      </c>
      <c r="L11" s="7" t="str">
        <f t="shared" si="3"/>
        <v>Q2</v>
      </c>
      <c r="M11" s="7" t="s">
        <v>305</v>
      </c>
      <c r="N11" s="7" t="s">
        <v>305</v>
      </c>
      <c r="O11" s="7" t="s">
        <v>306</v>
      </c>
    </row>
    <row r="12" spans="1:15" x14ac:dyDescent="0.35">
      <c r="A12" s="7">
        <v>11</v>
      </c>
      <c r="B12" s="8">
        <v>45096</v>
      </c>
      <c r="C12" s="7" t="s">
        <v>18</v>
      </c>
      <c r="D12" s="7" t="s">
        <v>72</v>
      </c>
      <c r="E12" s="7" t="s">
        <v>64</v>
      </c>
      <c r="F12" s="7" t="s">
        <v>67</v>
      </c>
      <c r="G12" s="7">
        <v>4</v>
      </c>
      <c r="H12" s="7">
        <v>1000</v>
      </c>
      <c r="I12" s="7">
        <f t="shared" si="0"/>
        <v>4000</v>
      </c>
      <c r="J12" s="7">
        <f t="shared" si="1"/>
        <v>2023</v>
      </c>
      <c r="K12" s="7" t="str">
        <f t="shared" si="2"/>
        <v>June</v>
      </c>
      <c r="L12" s="7" t="str">
        <f t="shared" si="3"/>
        <v>Q2</v>
      </c>
      <c r="M12" s="7" t="s">
        <v>300</v>
      </c>
      <c r="N12" s="7" t="s">
        <v>305</v>
      </c>
      <c r="O12" s="7" t="s">
        <v>305</v>
      </c>
    </row>
    <row r="13" spans="1:15" x14ac:dyDescent="0.35">
      <c r="A13" s="7">
        <v>12</v>
      </c>
      <c r="B13" s="8">
        <v>45008</v>
      </c>
      <c r="C13" s="7" t="s">
        <v>19</v>
      </c>
      <c r="D13" s="7" t="s">
        <v>59</v>
      </c>
      <c r="E13" s="7" t="s">
        <v>66</v>
      </c>
      <c r="F13" s="7" t="s">
        <v>67</v>
      </c>
      <c r="G13" s="7">
        <v>3</v>
      </c>
      <c r="H13" s="7">
        <v>1000</v>
      </c>
      <c r="I13" s="7">
        <f t="shared" si="0"/>
        <v>3000</v>
      </c>
      <c r="J13" s="7">
        <f t="shared" si="1"/>
        <v>2023</v>
      </c>
      <c r="K13" s="7" t="str">
        <f t="shared" si="2"/>
        <v>March</v>
      </c>
      <c r="L13" s="7" t="str">
        <f t="shared" si="3"/>
        <v>Q1</v>
      </c>
      <c r="M13" s="7" t="s">
        <v>305</v>
      </c>
      <c r="N13" s="7" t="s">
        <v>306</v>
      </c>
      <c r="O13" s="7" t="s">
        <v>305</v>
      </c>
    </row>
    <row r="14" spans="1:15" x14ac:dyDescent="0.35">
      <c r="A14" s="7">
        <v>13</v>
      </c>
      <c r="B14" s="8">
        <v>45096</v>
      </c>
      <c r="C14" s="7" t="s">
        <v>20</v>
      </c>
      <c r="D14" s="7" t="s">
        <v>60</v>
      </c>
      <c r="E14" s="7" t="s">
        <v>63</v>
      </c>
      <c r="F14" s="7" t="s">
        <v>67</v>
      </c>
      <c r="G14" s="7">
        <v>3</v>
      </c>
      <c r="H14" s="7">
        <v>30000</v>
      </c>
      <c r="I14" s="7">
        <f t="shared" si="0"/>
        <v>90000</v>
      </c>
      <c r="J14" s="7">
        <f t="shared" si="1"/>
        <v>2023</v>
      </c>
      <c r="K14" s="7" t="str">
        <f t="shared" si="2"/>
        <v>June</v>
      </c>
      <c r="L14" s="7" t="str">
        <f t="shared" si="3"/>
        <v>Q2</v>
      </c>
      <c r="M14" s="7" t="s">
        <v>309</v>
      </c>
      <c r="N14" s="7" t="s">
        <v>305</v>
      </c>
      <c r="O14" s="7" t="s">
        <v>305</v>
      </c>
    </row>
    <row r="15" spans="1:15" x14ac:dyDescent="0.35">
      <c r="A15" s="7">
        <v>14</v>
      </c>
      <c r="B15" s="8">
        <v>45163</v>
      </c>
      <c r="C15" s="7" t="s">
        <v>73</v>
      </c>
      <c r="D15" s="7" t="s">
        <v>61</v>
      </c>
      <c r="E15" s="7" t="s">
        <v>65</v>
      </c>
      <c r="F15" s="7" t="s">
        <v>68</v>
      </c>
      <c r="G15" s="7">
        <v>5</v>
      </c>
      <c r="H15" s="7">
        <v>10000</v>
      </c>
      <c r="I15" s="7">
        <f t="shared" si="0"/>
        <v>50000</v>
      </c>
      <c r="J15" s="7">
        <f t="shared" si="1"/>
        <v>2023</v>
      </c>
      <c r="K15" s="7" t="str">
        <f t="shared" si="2"/>
        <v>August</v>
      </c>
      <c r="L15" s="7" t="str">
        <f t="shared" si="3"/>
        <v>Q3</v>
      </c>
      <c r="M15" s="7" t="s">
        <v>305</v>
      </c>
      <c r="N15" s="7" t="s">
        <v>305</v>
      </c>
      <c r="O15" s="7" t="s">
        <v>306</v>
      </c>
    </row>
    <row r="16" spans="1:15" x14ac:dyDescent="0.35">
      <c r="A16" s="7">
        <v>15</v>
      </c>
      <c r="B16" s="8">
        <v>45046</v>
      </c>
      <c r="C16" s="7" t="s">
        <v>22</v>
      </c>
      <c r="D16" s="7" t="s">
        <v>59</v>
      </c>
      <c r="E16" s="7" t="s">
        <v>64</v>
      </c>
      <c r="F16" s="7" t="s">
        <v>68</v>
      </c>
      <c r="G16" s="7">
        <v>5</v>
      </c>
      <c r="H16" s="7">
        <v>20000</v>
      </c>
      <c r="I16" s="7">
        <f t="shared" si="0"/>
        <v>100000</v>
      </c>
      <c r="J16" s="7">
        <f t="shared" si="1"/>
        <v>2023</v>
      </c>
      <c r="K16" s="7" t="str">
        <f t="shared" si="2"/>
        <v>April</v>
      </c>
      <c r="L16" s="7" t="str">
        <f t="shared" si="3"/>
        <v>Q2</v>
      </c>
      <c r="M16" s="7" t="s">
        <v>305</v>
      </c>
      <c r="N16" s="7" t="s">
        <v>305</v>
      </c>
      <c r="O16" s="7" t="s">
        <v>305</v>
      </c>
    </row>
    <row r="17" spans="1:15" x14ac:dyDescent="0.35">
      <c r="A17" s="7">
        <v>16</v>
      </c>
      <c r="B17" s="8">
        <v>45096</v>
      </c>
      <c r="C17" s="7" t="s">
        <v>22</v>
      </c>
      <c r="D17" s="7" t="s">
        <v>61</v>
      </c>
      <c r="E17" s="7" t="s">
        <v>64</v>
      </c>
      <c r="F17" s="7" t="s">
        <v>67</v>
      </c>
      <c r="G17" s="7">
        <v>2</v>
      </c>
      <c r="H17" s="7">
        <v>10000</v>
      </c>
      <c r="I17" s="7">
        <f t="shared" si="0"/>
        <v>20000</v>
      </c>
      <c r="J17" s="7">
        <f t="shared" si="1"/>
        <v>2023</v>
      </c>
      <c r="K17" s="7" t="str">
        <f t="shared" si="2"/>
        <v>June</v>
      </c>
      <c r="L17" s="7" t="str">
        <f t="shared" si="3"/>
        <v>Q2</v>
      </c>
      <c r="M17" s="7" t="s">
        <v>300</v>
      </c>
      <c r="N17" s="7" t="s">
        <v>305</v>
      </c>
      <c r="O17" s="7" t="s">
        <v>306</v>
      </c>
    </row>
    <row r="18" spans="1:15" x14ac:dyDescent="0.35">
      <c r="A18" s="7">
        <v>18</v>
      </c>
      <c r="B18" s="8">
        <v>45021</v>
      </c>
      <c r="C18" s="7" t="s">
        <v>15</v>
      </c>
      <c r="D18" s="7" t="s">
        <v>60</v>
      </c>
      <c r="E18" s="7" t="s">
        <v>65</v>
      </c>
      <c r="F18" s="7" t="s">
        <v>67</v>
      </c>
      <c r="G18" s="7">
        <v>3</v>
      </c>
      <c r="H18" s="7">
        <v>1000</v>
      </c>
      <c r="I18" s="7">
        <f t="shared" si="0"/>
        <v>3000</v>
      </c>
      <c r="J18" s="7">
        <f t="shared" si="1"/>
        <v>2023</v>
      </c>
      <c r="K18" s="7" t="str">
        <f t="shared" si="2"/>
        <v>April</v>
      </c>
      <c r="L18" s="7" t="str">
        <f t="shared" si="3"/>
        <v>Q2</v>
      </c>
      <c r="M18" s="7" t="s">
        <v>308</v>
      </c>
      <c r="N18" s="7" t="s">
        <v>305</v>
      </c>
      <c r="O18" s="7" t="s">
        <v>305</v>
      </c>
    </row>
    <row r="19" spans="1:15" x14ac:dyDescent="0.35">
      <c r="A19" s="7">
        <v>19</v>
      </c>
      <c r="B19" s="8">
        <v>45066</v>
      </c>
      <c r="C19" s="7" t="s">
        <v>73</v>
      </c>
      <c r="D19" s="7" t="s">
        <v>72</v>
      </c>
      <c r="E19" s="7" t="s">
        <v>64</v>
      </c>
      <c r="F19" s="7" t="s">
        <v>67</v>
      </c>
      <c r="G19" s="7">
        <v>1</v>
      </c>
      <c r="H19" s="9">
        <v>10000</v>
      </c>
      <c r="I19" s="7">
        <f t="shared" si="0"/>
        <v>10000</v>
      </c>
      <c r="J19" s="7">
        <f t="shared" si="1"/>
        <v>2023</v>
      </c>
      <c r="K19" s="7" t="str">
        <f t="shared" si="2"/>
        <v>May</v>
      </c>
      <c r="L19" s="7" t="str">
        <f t="shared" si="3"/>
        <v>Q2</v>
      </c>
      <c r="M19" s="7" t="s">
        <v>305</v>
      </c>
      <c r="N19" s="7" t="s">
        <v>305</v>
      </c>
      <c r="O19" s="7" t="s">
        <v>305</v>
      </c>
    </row>
    <row r="20" spans="1:15" x14ac:dyDescent="0.35">
      <c r="A20" s="7">
        <v>20</v>
      </c>
      <c r="B20" s="8">
        <v>45096</v>
      </c>
      <c r="C20" s="7" t="s">
        <v>17</v>
      </c>
      <c r="D20" s="7" t="s">
        <v>72</v>
      </c>
      <c r="E20" s="7" t="s">
        <v>62</v>
      </c>
      <c r="F20" s="7" t="s">
        <v>68</v>
      </c>
      <c r="G20" s="7">
        <v>1</v>
      </c>
      <c r="H20" s="7">
        <v>5000</v>
      </c>
      <c r="I20" s="7">
        <f t="shared" si="0"/>
        <v>5000</v>
      </c>
      <c r="J20" s="7">
        <f t="shared" si="1"/>
        <v>2023</v>
      </c>
      <c r="K20" s="7" t="str">
        <f t="shared" si="2"/>
        <v>June</v>
      </c>
      <c r="L20" s="7" t="str">
        <f t="shared" si="3"/>
        <v>Q2</v>
      </c>
      <c r="M20" s="7" t="s">
        <v>309</v>
      </c>
      <c r="N20" s="7" t="s">
        <v>305</v>
      </c>
      <c r="O20" s="7" t="s">
        <v>305</v>
      </c>
    </row>
    <row r="21" spans="1:15" x14ac:dyDescent="0.35">
      <c r="A21" s="7">
        <v>21</v>
      </c>
      <c r="B21" s="8">
        <v>45096</v>
      </c>
      <c r="C21" s="7" t="s">
        <v>23</v>
      </c>
      <c r="D21" s="7" t="s">
        <v>61</v>
      </c>
      <c r="E21" s="7" t="s">
        <v>64</v>
      </c>
      <c r="F21" s="7" t="s">
        <v>67</v>
      </c>
      <c r="G21" s="7">
        <v>3</v>
      </c>
      <c r="H21" s="7">
        <v>1000</v>
      </c>
      <c r="I21" s="7">
        <f t="shared" si="0"/>
        <v>3000</v>
      </c>
      <c r="J21" s="7">
        <f t="shared" si="1"/>
        <v>2023</v>
      </c>
      <c r="K21" s="7" t="str">
        <f t="shared" si="2"/>
        <v>June</v>
      </c>
      <c r="L21" s="7" t="str">
        <f t="shared" si="3"/>
        <v>Q2</v>
      </c>
      <c r="M21" s="7" t="s">
        <v>300</v>
      </c>
      <c r="N21" s="7" t="s">
        <v>306</v>
      </c>
      <c r="O21" s="7" t="s">
        <v>305</v>
      </c>
    </row>
    <row r="22" spans="1:15" x14ac:dyDescent="0.35">
      <c r="A22" s="7">
        <v>22</v>
      </c>
      <c r="B22" s="8">
        <v>45149</v>
      </c>
      <c r="C22" s="7" t="s">
        <v>24</v>
      </c>
      <c r="D22" s="7" t="s">
        <v>72</v>
      </c>
      <c r="E22" s="7" t="s">
        <v>75</v>
      </c>
      <c r="F22" s="7" t="s">
        <v>68</v>
      </c>
      <c r="G22" s="7">
        <v>2</v>
      </c>
      <c r="H22" s="7">
        <v>20000</v>
      </c>
      <c r="I22" s="7">
        <f t="shared" si="0"/>
        <v>40000</v>
      </c>
      <c r="J22" s="7">
        <f t="shared" si="1"/>
        <v>2023</v>
      </c>
      <c r="K22" s="7" t="str">
        <f t="shared" si="2"/>
        <v>August</v>
      </c>
      <c r="L22" s="7" t="str">
        <f t="shared" si="3"/>
        <v>Q3</v>
      </c>
      <c r="M22" s="7" t="s">
        <v>298</v>
      </c>
      <c r="N22" s="7" t="s">
        <v>305</v>
      </c>
      <c r="O22" s="7" t="s">
        <v>305</v>
      </c>
    </row>
    <row r="23" spans="1:15" x14ac:dyDescent="0.35">
      <c r="A23" s="7">
        <v>23</v>
      </c>
      <c r="B23" s="8">
        <v>45062</v>
      </c>
      <c r="C23" s="7" t="s">
        <v>73</v>
      </c>
      <c r="D23" s="7" t="s">
        <v>72</v>
      </c>
      <c r="E23" s="7" t="s">
        <v>65</v>
      </c>
      <c r="F23" s="7" t="s">
        <v>67</v>
      </c>
      <c r="G23" s="7">
        <v>1</v>
      </c>
      <c r="H23" s="7">
        <v>10000</v>
      </c>
      <c r="I23" s="7">
        <f t="shared" si="0"/>
        <v>10000</v>
      </c>
      <c r="J23" s="7">
        <f t="shared" si="1"/>
        <v>2023</v>
      </c>
      <c r="K23" s="7" t="str">
        <f t="shared" si="2"/>
        <v>May</v>
      </c>
      <c r="L23" s="7" t="str">
        <f t="shared" si="3"/>
        <v>Q2</v>
      </c>
      <c r="M23" s="7" t="s">
        <v>305</v>
      </c>
      <c r="N23" s="7" t="s">
        <v>305</v>
      </c>
      <c r="O23" s="7" t="s">
        <v>306</v>
      </c>
    </row>
    <row r="24" spans="1:15" x14ac:dyDescent="0.35">
      <c r="A24" s="7">
        <v>24</v>
      </c>
      <c r="B24" s="8">
        <v>44937</v>
      </c>
      <c r="C24" s="7" t="s">
        <v>25</v>
      </c>
      <c r="D24" s="7" t="s">
        <v>59</v>
      </c>
      <c r="E24" s="7" t="s">
        <v>75</v>
      </c>
      <c r="F24" s="7" t="s">
        <v>76</v>
      </c>
      <c r="G24" s="7">
        <v>3</v>
      </c>
      <c r="H24" s="9">
        <v>10000</v>
      </c>
      <c r="I24" s="7">
        <f t="shared" si="0"/>
        <v>30000</v>
      </c>
      <c r="J24" s="7">
        <f t="shared" si="1"/>
        <v>2023</v>
      </c>
      <c r="K24" s="7" t="str">
        <f t="shared" si="2"/>
        <v>January</v>
      </c>
      <c r="L24" s="7" t="str">
        <f t="shared" si="3"/>
        <v>Q1</v>
      </c>
      <c r="M24" s="7" t="s">
        <v>299</v>
      </c>
      <c r="N24" s="7" t="s">
        <v>306</v>
      </c>
      <c r="O24" s="7" t="s">
        <v>305</v>
      </c>
    </row>
    <row r="25" spans="1:15" x14ac:dyDescent="0.35">
      <c r="A25" s="7">
        <v>25</v>
      </c>
      <c r="B25" s="8">
        <v>45125</v>
      </c>
      <c r="C25" s="7" t="s">
        <v>26</v>
      </c>
      <c r="D25" s="7" t="s">
        <v>72</v>
      </c>
      <c r="E25" s="7" t="s">
        <v>66</v>
      </c>
      <c r="F25" s="7" t="s">
        <v>68</v>
      </c>
      <c r="G25" s="7">
        <v>2</v>
      </c>
      <c r="H25" s="7">
        <v>1000</v>
      </c>
      <c r="I25" s="7">
        <f t="shared" si="0"/>
        <v>2000</v>
      </c>
      <c r="J25" s="7">
        <f t="shared" si="1"/>
        <v>2023</v>
      </c>
      <c r="K25" s="7" t="str">
        <f t="shared" si="2"/>
        <v>July</v>
      </c>
      <c r="L25" s="7" t="str">
        <f t="shared" si="3"/>
        <v>Q3</v>
      </c>
      <c r="M25" s="7" t="s">
        <v>305</v>
      </c>
      <c r="N25" s="7" t="s">
        <v>305</v>
      </c>
      <c r="O25" s="7" t="s">
        <v>305</v>
      </c>
    </row>
    <row r="26" spans="1:15" x14ac:dyDescent="0.35">
      <c r="A26" s="7">
        <v>26</v>
      </c>
      <c r="B26" s="8">
        <v>45174</v>
      </c>
      <c r="C26" s="7" t="s">
        <v>23</v>
      </c>
      <c r="D26" s="7" t="s">
        <v>59</v>
      </c>
      <c r="E26" s="7" t="s">
        <v>66</v>
      </c>
      <c r="F26" s="7" t="s">
        <v>68</v>
      </c>
      <c r="G26" s="7">
        <v>3</v>
      </c>
      <c r="H26" s="7">
        <v>20000</v>
      </c>
      <c r="I26" s="7">
        <f t="shared" si="0"/>
        <v>60000</v>
      </c>
      <c r="J26" s="7">
        <f t="shared" si="1"/>
        <v>2023</v>
      </c>
      <c r="K26" s="7" t="str">
        <f t="shared" si="2"/>
        <v>September</v>
      </c>
      <c r="L26" s="7" t="str">
        <f t="shared" si="3"/>
        <v>Q3</v>
      </c>
      <c r="M26" s="7" t="s">
        <v>305</v>
      </c>
      <c r="N26" s="7" t="s">
        <v>306</v>
      </c>
      <c r="O26" s="7" t="s">
        <v>305</v>
      </c>
    </row>
    <row r="27" spans="1:15" x14ac:dyDescent="0.35">
      <c r="A27" s="7">
        <v>27</v>
      </c>
      <c r="B27" s="8">
        <v>45251</v>
      </c>
      <c r="C27" s="7" t="s">
        <v>27</v>
      </c>
      <c r="D27" s="7" t="s">
        <v>72</v>
      </c>
      <c r="E27" s="7" t="s">
        <v>63</v>
      </c>
      <c r="F27" s="7" t="s">
        <v>67</v>
      </c>
      <c r="G27" s="7">
        <v>2</v>
      </c>
      <c r="H27" s="7">
        <v>10000</v>
      </c>
      <c r="I27" s="7">
        <f t="shared" si="0"/>
        <v>20000</v>
      </c>
      <c r="J27" s="7">
        <f t="shared" si="1"/>
        <v>2023</v>
      </c>
      <c r="K27" s="7" t="str">
        <f t="shared" si="2"/>
        <v>November</v>
      </c>
      <c r="L27" s="7" t="str">
        <f t="shared" si="3"/>
        <v>Q4</v>
      </c>
      <c r="M27" s="7" t="s">
        <v>305</v>
      </c>
      <c r="N27" s="7" t="s">
        <v>305</v>
      </c>
      <c r="O27" s="7" t="s">
        <v>306</v>
      </c>
    </row>
    <row r="28" spans="1:15" x14ac:dyDescent="0.35">
      <c r="A28" s="7">
        <v>28</v>
      </c>
      <c r="B28" s="8">
        <v>45141</v>
      </c>
      <c r="C28" s="7" t="s">
        <v>9</v>
      </c>
      <c r="D28" s="7" t="s">
        <v>60</v>
      </c>
      <c r="E28" s="7" t="s">
        <v>63</v>
      </c>
      <c r="F28" s="7" t="s">
        <v>68</v>
      </c>
      <c r="G28" s="7">
        <v>2</v>
      </c>
      <c r="H28" s="7">
        <v>10000</v>
      </c>
      <c r="I28" s="7">
        <f t="shared" si="0"/>
        <v>20000</v>
      </c>
      <c r="J28" s="7">
        <f t="shared" si="1"/>
        <v>2023</v>
      </c>
      <c r="K28" s="7" t="str">
        <f t="shared" si="2"/>
        <v>August</v>
      </c>
      <c r="L28" s="7" t="str">
        <f t="shared" si="3"/>
        <v>Q3</v>
      </c>
      <c r="M28" s="7" t="s">
        <v>305</v>
      </c>
      <c r="N28" s="7" t="s">
        <v>305</v>
      </c>
      <c r="O28" s="7" t="s">
        <v>306</v>
      </c>
    </row>
    <row r="29" spans="1:15" x14ac:dyDescent="0.35">
      <c r="A29" s="7">
        <v>29</v>
      </c>
      <c r="B29" s="8">
        <v>44967</v>
      </c>
      <c r="C29" s="7" t="s">
        <v>27</v>
      </c>
      <c r="D29" s="7" t="s">
        <v>72</v>
      </c>
      <c r="E29" s="7" t="s">
        <v>62</v>
      </c>
      <c r="F29" s="7" t="s">
        <v>67</v>
      </c>
      <c r="G29" s="7">
        <v>3</v>
      </c>
      <c r="H29" s="7">
        <v>5000</v>
      </c>
      <c r="I29" s="7">
        <f t="shared" si="0"/>
        <v>15000</v>
      </c>
      <c r="J29" s="7">
        <f t="shared" si="1"/>
        <v>2023</v>
      </c>
      <c r="K29" s="7" t="str">
        <f t="shared" si="2"/>
        <v>February</v>
      </c>
      <c r="L29" s="7" t="str">
        <f t="shared" si="3"/>
        <v>Q1</v>
      </c>
      <c r="M29" s="7" t="s">
        <v>305</v>
      </c>
      <c r="N29" s="7" t="s">
        <v>306</v>
      </c>
      <c r="O29" s="7" t="s">
        <v>305</v>
      </c>
    </row>
    <row r="30" spans="1:15" x14ac:dyDescent="0.35">
      <c r="A30" s="7">
        <v>30</v>
      </c>
      <c r="B30" s="8">
        <v>45001</v>
      </c>
      <c r="C30" s="7" t="s">
        <v>28</v>
      </c>
      <c r="D30" s="7" t="s">
        <v>72</v>
      </c>
      <c r="E30" s="7" t="s">
        <v>64</v>
      </c>
      <c r="F30" s="7" t="s">
        <v>67</v>
      </c>
      <c r="G30" s="7">
        <v>2</v>
      </c>
      <c r="H30" s="7">
        <v>10000</v>
      </c>
      <c r="I30" s="7">
        <f t="shared" si="0"/>
        <v>20000</v>
      </c>
      <c r="J30" s="7">
        <f t="shared" si="1"/>
        <v>2023</v>
      </c>
      <c r="K30" s="7" t="str">
        <f t="shared" si="2"/>
        <v>March</v>
      </c>
      <c r="L30" s="7" t="str">
        <f t="shared" si="3"/>
        <v>Q1</v>
      </c>
      <c r="M30" s="7" t="s">
        <v>305</v>
      </c>
      <c r="N30" s="7" t="s">
        <v>305</v>
      </c>
      <c r="O30" s="7" t="s">
        <v>306</v>
      </c>
    </row>
    <row r="31" spans="1:15" x14ac:dyDescent="0.35">
      <c r="A31" s="7">
        <v>31</v>
      </c>
      <c r="B31" s="8">
        <v>45015</v>
      </c>
      <c r="C31" s="7" t="s">
        <v>73</v>
      </c>
      <c r="D31" s="7" t="s">
        <v>61</v>
      </c>
      <c r="E31" s="7" t="s">
        <v>75</v>
      </c>
      <c r="F31" s="7" t="s">
        <v>67</v>
      </c>
      <c r="G31" s="7">
        <v>3</v>
      </c>
      <c r="H31" s="7">
        <v>30000</v>
      </c>
      <c r="I31" s="7">
        <f t="shared" si="0"/>
        <v>90000</v>
      </c>
      <c r="J31" s="7">
        <f t="shared" si="1"/>
        <v>2023</v>
      </c>
      <c r="K31" s="7" t="str">
        <f t="shared" si="2"/>
        <v>March</v>
      </c>
      <c r="L31" s="7" t="str">
        <f t="shared" si="3"/>
        <v>Q1</v>
      </c>
      <c r="M31" s="7" t="s">
        <v>298</v>
      </c>
      <c r="N31" s="7" t="s">
        <v>306</v>
      </c>
      <c r="O31" s="7" t="s">
        <v>305</v>
      </c>
    </row>
    <row r="32" spans="1:15" x14ac:dyDescent="0.35">
      <c r="A32" s="7">
        <v>32</v>
      </c>
      <c r="B32" s="8">
        <v>45276</v>
      </c>
      <c r="C32" s="7" t="s">
        <v>29</v>
      </c>
      <c r="D32" s="7" t="s">
        <v>72</v>
      </c>
      <c r="E32" s="7" t="s">
        <v>65</v>
      </c>
      <c r="F32" s="7" t="s">
        <v>67</v>
      </c>
      <c r="G32" s="7">
        <v>4</v>
      </c>
      <c r="H32" s="7">
        <v>10000</v>
      </c>
      <c r="I32" s="7">
        <f t="shared" si="0"/>
        <v>40000</v>
      </c>
      <c r="J32" s="7">
        <f t="shared" si="1"/>
        <v>2023</v>
      </c>
      <c r="K32" s="7" t="str">
        <f t="shared" si="2"/>
        <v>December</v>
      </c>
      <c r="L32" s="7" t="str">
        <f t="shared" si="3"/>
        <v>Q4</v>
      </c>
      <c r="M32" s="7" t="s">
        <v>305</v>
      </c>
      <c r="N32" s="7" t="s">
        <v>305</v>
      </c>
      <c r="O32" s="7" t="s">
        <v>306</v>
      </c>
    </row>
    <row r="33" spans="1:15" x14ac:dyDescent="0.35">
      <c r="A33" s="7">
        <v>33</v>
      </c>
      <c r="B33" s="8">
        <v>45219</v>
      </c>
      <c r="C33" s="7" t="s">
        <v>26</v>
      </c>
      <c r="D33" s="7" t="s">
        <v>72</v>
      </c>
      <c r="E33" s="7" t="s">
        <v>66</v>
      </c>
      <c r="F33" s="7" t="s">
        <v>67</v>
      </c>
      <c r="G33" s="7">
        <v>3</v>
      </c>
      <c r="H33" s="7">
        <v>10000</v>
      </c>
      <c r="I33" s="7">
        <f t="shared" si="0"/>
        <v>30000</v>
      </c>
      <c r="J33" s="7">
        <f t="shared" si="1"/>
        <v>2023</v>
      </c>
      <c r="K33" s="7" t="str">
        <f t="shared" si="2"/>
        <v>October</v>
      </c>
      <c r="L33" s="7" t="str">
        <f t="shared" si="3"/>
        <v>Q4</v>
      </c>
      <c r="M33" s="7" t="s">
        <v>305</v>
      </c>
      <c r="N33" s="7" t="s">
        <v>306</v>
      </c>
      <c r="O33" s="7" t="s">
        <v>306</v>
      </c>
    </row>
    <row r="34" spans="1:15" x14ac:dyDescent="0.35">
      <c r="A34" s="7">
        <v>34</v>
      </c>
      <c r="B34" s="8">
        <v>45266</v>
      </c>
      <c r="C34" s="7" t="s">
        <v>10</v>
      </c>
      <c r="D34" s="7" t="s">
        <v>72</v>
      </c>
      <c r="E34" s="7" t="s">
        <v>64</v>
      </c>
      <c r="F34" s="7" t="s">
        <v>67</v>
      </c>
      <c r="G34" s="7">
        <v>3</v>
      </c>
      <c r="H34" s="7">
        <v>10000</v>
      </c>
      <c r="I34" s="7">
        <f t="shared" si="0"/>
        <v>30000</v>
      </c>
      <c r="J34" s="7">
        <f t="shared" si="1"/>
        <v>2023</v>
      </c>
      <c r="K34" s="7" t="str">
        <f t="shared" si="2"/>
        <v>December</v>
      </c>
      <c r="L34" s="7" t="str">
        <f t="shared" si="3"/>
        <v>Q4</v>
      </c>
      <c r="M34" s="7" t="s">
        <v>308</v>
      </c>
      <c r="N34" s="7" t="s">
        <v>306</v>
      </c>
      <c r="O34" s="7" t="s">
        <v>306</v>
      </c>
    </row>
    <row r="35" spans="1:15" x14ac:dyDescent="0.35">
      <c r="A35" s="7">
        <v>35</v>
      </c>
      <c r="B35" s="8">
        <v>45225</v>
      </c>
      <c r="C35" s="7" t="s">
        <v>30</v>
      </c>
      <c r="D35" s="7" t="s">
        <v>59</v>
      </c>
      <c r="E35" s="7" t="s">
        <v>64</v>
      </c>
      <c r="F35" s="7" t="s">
        <v>67</v>
      </c>
      <c r="G35" s="7">
        <v>1</v>
      </c>
      <c r="H35" s="7">
        <v>1000</v>
      </c>
      <c r="I35" s="7">
        <f t="shared" si="0"/>
        <v>1000</v>
      </c>
      <c r="J35" s="7">
        <f t="shared" si="1"/>
        <v>2023</v>
      </c>
      <c r="K35" s="7" t="str">
        <f t="shared" si="2"/>
        <v>October</v>
      </c>
      <c r="L35" s="7" t="str">
        <f t="shared" si="3"/>
        <v>Q4</v>
      </c>
      <c r="M35" s="7" t="s">
        <v>305</v>
      </c>
      <c r="N35" s="7" t="s">
        <v>305</v>
      </c>
      <c r="O35" s="7" t="s">
        <v>305</v>
      </c>
    </row>
    <row r="36" spans="1:15" x14ac:dyDescent="0.35">
      <c r="A36" s="7">
        <v>36</v>
      </c>
      <c r="B36" s="8">
        <v>44975</v>
      </c>
      <c r="C36" s="7" t="s">
        <v>73</v>
      </c>
      <c r="D36" s="7" t="s">
        <v>61</v>
      </c>
      <c r="E36" s="7" t="s">
        <v>62</v>
      </c>
      <c r="F36" s="7" t="s">
        <v>68</v>
      </c>
      <c r="G36" s="7">
        <v>3</v>
      </c>
      <c r="H36" s="7">
        <v>1000</v>
      </c>
      <c r="I36" s="7">
        <f t="shared" si="0"/>
        <v>3000</v>
      </c>
      <c r="J36" s="7">
        <f t="shared" si="1"/>
        <v>2023</v>
      </c>
      <c r="K36" s="7" t="str">
        <f t="shared" si="2"/>
        <v>February</v>
      </c>
      <c r="L36" s="7" t="str">
        <f t="shared" si="3"/>
        <v>Q1</v>
      </c>
      <c r="M36" s="7" t="s">
        <v>305</v>
      </c>
      <c r="N36" s="7" t="s">
        <v>305</v>
      </c>
      <c r="O36" s="7" t="s">
        <v>305</v>
      </c>
    </row>
    <row r="37" spans="1:15" x14ac:dyDescent="0.35">
      <c r="A37" s="7">
        <v>37</v>
      </c>
      <c r="B37" s="8">
        <v>45167</v>
      </c>
      <c r="C37" s="7" t="s">
        <v>31</v>
      </c>
      <c r="D37" s="7" t="s">
        <v>72</v>
      </c>
      <c r="E37" s="7" t="s">
        <v>62</v>
      </c>
      <c r="F37" s="7" t="s">
        <v>68</v>
      </c>
      <c r="G37" s="7">
        <v>4</v>
      </c>
      <c r="H37" s="9">
        <v>10000</v>
      </c>
      <c r="I37" s="7">
        <f t="shared" si="0"/>
        <v>40000</v>
      </c>
      <c r="J37" s="7">
        <f t="shared" si="1"/>
        <v>2023</v>
      </c>
      <c r="K37" s="7" t="str">
        <f t="shared" si="2"/>
        <v>August</v>
      </c>
      <c r="L37" s="7" t="str">
        <f t="shared" si="3"/>
        <v>Q3</v>
      </c>
      <c r="M37" s="7" t="s">
        <v>308</v>
      </c>
      <c r="N37" s="7" t="s">
        <v>305</v>
      </c>
      <c r="O37" s="7" t="s">
        <v>305</v>
      </c>
    </row>
    <row r="38" spans="1:15" x14ac:dyDescent="0.35">
      <c r="A38" s="7">
        <v>38</v>
      </c>
      <c r="B38" s="8">
        <v>45143</v>
      </c>
      <c r="C38" s="7" t="s">
        <v>25</v>
      </c>
      <c r="D38" s="7" t="s">
        <v>61</v>
      </c>
      <c r="E38" s="7" t="s">
        <v>65</v>
      </c>
      <c r="F38" s="7" t="s">
        <v>67</v>
      </c>
      <c r="G38" s="7">
        <v>2</v>
      </c>
      <c r="H38" s="7">
        <v>10000</v>
      </c>
      <c r="I38" s="7">
        <f t="shared" si="0"/>
        <v>20000</v>
      </c>
      <c r="J38" s="7">
        <f t="shared" si="1"/>
        <v>2023</v>
      </c>
      <c r="K38" s="7" t="str">
        <f t="shared" si="2"/>
        <v>August</v>
      </c>
      <c r="L38" s="7" t="str">
        <f t="shared" si="3"/>
        <v>Q3</v>
      </c>
      <c r="M38" s="7" t="s">
        <v>305</v>
      </c>
      <c r="N38" s="7" t="s">
        <v>305</v>
      </c>
      <c r="O38" s="7" t="s">
        <v>306</v>
      </c>
    </row>
    <row r="39" spans="1:15" x14ac:dyDescent="0.35">
      <c r="A39" s="7">
        <v>39</v>
      </c>
      <c r="B39" s="8">
        <v>45033</v>
      </c>
      <c r="C39" s="7" t="s">
        <v>13</v>
      </c>
      <c r="D39" s="7" t="s">
        <v>61</v>
      </c>
      <c r="E39" s="7" t="s">
        <v>75</v>
      </c>
      <c r="F39" s="7" t="s">
        <v>67</v>
      </c>
      <c r="G39" s="7">
        <v>3</v>
      </c>
      <c r="H39" s="7">
        <v>30000</v>
      </c>
      <c r="I39" s="7">
        <f t="shared" si="0"/>
        <v>90000</v>
      </c>
      <c r="J39" s="7">
        <f t="shared" si="1"/>
        <v>2023</v>
      </c>
      <c r="K39" s="7" t="str">
        <f t="shared" si="2"/>
        <v>April</v>
      </c>
      <c r="L39" s="7" t="str">
        <f t="shared" si="3"/>
        <v>Q2</v>
      </c>
      <c r="M39" s="7" t="s">
        <v>298</v>
      </c>
      <c r="N39" s="7" t="s">
        <v>306</v>
      </c>
      <c r="O39" s="7" t="s">
        <v>305</v>
      </c>
    </row>
    <row r="40" spans="1:15" x14ac:dyDescent="0.35">
      <c r="A40" s="7">
        <v>40</v>
      </c>
      <c r="B40" s="8">
        <v>44948</v>
      </c>
      <c r="C40" s="7" t="s">
        <v>31</v>
      </c>
      <c r="D40" s="7" t="s">
        <v>59</v>
      </c>
      <c r="E40" s="7" t="s">
        <v>63</v>
      </c>
      <c r="F40" s="7" t="s">
        <v>67</v>
      </c>
      <c r="G40" s="7">
        <v>3</v>
      </c>
      <c r="H40" s="7">
        <v>10000</v>
      </c>
      <c r="I40" s="7">
        <f t="shared" si="0"/>
        <v>30000</v>
      </c>
      <c r="J40" s="7">
        <f t="shared" si="1"/>
        <v>2023</v>
      </c>
      <c r="K40" s="7" t="str">
        <f t="shared" si="2"/>
        <v>January</v>
      </c>
      <c r="L40" s="7" t="str">
        <f t="shared" si="3"/>
        <v>Q1</v>
      </c>
      <c r="M40" s="7" t="s">
        <v>305</v>
      </c>
      <c r="N40" s="7" t="s">
        <v>306</v>
      </c>
      <c r="O40" s="7" t="s">
        <v>306</v>
      </c>
    </row>
    <row r="41" spans="1:15" x14ac:dyDescent="0.35">
      <c r="A41" s="7">
        <v>41</v>
      </c>
      <c r="B41" s="8">
        <v>45004</v>
      </c>
      <c r="C41" s="7" t="s">
        <v>11</v>
      </c>
      <c r="D41" s="7" t="s">
        <v>60</v>
      </c>
      <c r="E41" s="7" t="s">
        <v>66</v>
      </c>
      <c r="F41" s="7" t="s">
        <v>67</v>
      </c>
      <c r="G41" s="7">
        <v>3</v>
      </c>
      <c r="H41" s="9">
        <v>10000</v>
      </c>
      <c r="I41" s="7">
        <f t="shared" si="0"/>
        <v>30000</v>
      </c>
      <c r="J41" s="7">
        <f t="shared" si="1"/>
        <v>2023</v>
      </c>
      <c r="K41" s="7" t="str">
        <f t="shared" si="2"/>
        <v>March</v>
      </c>
      <c r="L41" s="7" t="str">
        <f t="shared" si="3"/>
        <v>Q1</v>
      </c>
      <c r="M41" s="7" t="s">
        <v>308</v>
      </c>
      <c r="N41" s="7" t="s">
        <v>306</v>
      </c>
      <c r="O41" s="7" t="s">
        <v>305</v>
      </c>
    </row>
    <row r="42" spans="1:15" x14ac:dyDescent="0.35">
      <c r="A42" s="7">
        <v>42</v>
      </c>
      <c r="B42" s="8">
        <v>45266</v>
      </c>
      <c r="C42" s="7" t="s">
        <v>26</v>
      </c>
      <c r="D42" s="7" t="s">
        <v>72</v>
      </c>
      <c r="E42" s="7" t="s">
        <v>75</v>
      </c>
      <c r="F42" s="7" t="s">
        <v>67</v>
      </c>
      <c r="G42" s="7">
        <v>2</v>
      </c>
      <c r="H42" s="7">
        <v>10000</v>
      </c>
      <c r="I42" s="7">
        <f t="shared" si="0"/>
        <v>20000</v>
      </c>
      <c r="J42" s="7">
        <f t="shared" si="1"/>
        <v>2023</v>
      </c>
      <c r="K42" s="7" t="str">
        <f t="shared" si="2"/>
        <v>December</v>
      </c>
      <c r="L42" s="7" t="str">
        <f t="shared" si="3"/>
        <v>Q4</v>
      </c>
      <c r="M42" s="7" t="s">
        <v>298</v>
      </c>
      <c r="N42" s="7" t="s">
        <v>305</v>
      </c>
      <c r="O42" s="7" t="s">
        <v>306</v>
      </c>
    </row>
    <row r="43" spans="1:15" x14ac:dyDescent="0.35">
      <c r="A43" s="7">
        <v>43</v>
      </c>
      <c r="B43" s="8">
        <v>44936</v>
      </c>
      <c r="C43" s="7" t="s">
        <v>32</v>
      </c>
      <c r="D43" s="7" t="s">
        <v>72</v>
      </c>
      <c r="E43" s="7" t="s">
        <v>65</v>
      </c>
      <c r="F43" s="7" t="s">
        <v>67</v>
      </c>
      <c r="G43" s="7">
        <v>2</v>
      </c>
      <c r="H43" s="7">
        <v>5000</v>
      </c>
      <c r="I43" s="7">
        <f t="shared" si="0"/>
        <v>10000</v>
      </c>
      <c r="J43" s="7">
        <f t="shared" si="1"/>
        <v>2023</v>
      </c>
      <c r="K43" s="7" t="str">
        <f t="shared" si="2"/>
        <v>January</v>
      </c>
      <c r="L43" s="7" t="str">
        <f t="shared" si="3"/>
        <v>Q1</v>
      </c>
      <c r="M43" s="7" t="s">
        <v>305</v>
      </c>
      <c r="N43" s="7" t="s">
        <v>305</v>
      </c>
      <c r="O43" s="7" t="s">
        <v>305</v>
      </c>
    </row>
    <row r="44" spans="1:15" x14ac:dyDescent="0.35">
      <c r="A44" s="7">
        <v>44</v>
      </c>
      <c r="B44" s="8">
        <v>45086</v>
      </c>
      <c r="C44" s="7" t="s">
        <v>33</v>
      </c>
      <c r="D44" s="7" t="s">
        <v>59</v>
      </c>
      <c r="E44" s="7" t="s">
        <v>64</v>
      </c>
      <c r="F44" s="7" t="s">
        <v>67</v>
      </c>
      <c r="G44" s="7">
        <v>3</v>
      </c>
      <c r="H44" s="7">
        <v>5000</v>
      </c>
      <c r="I44" s="7">
        <f t="shared" si="0"/>
        <v>15000</v>
      </c>
      <c r="J44" s="7">
        <f t="shared" si="1"/>
        <v>2023</v>
      </c>
      <c r="K44" s="7" t="str">
        <f t="shared" si="2"/>
        <v>June</v>
      </c>
      <c r="L44" s="7" t="str">
        <f t="shared" si="3"/>
        <v>Q2</v>
      </c>
      <c r="M44" s="7" t="s">
        <v>305</v>
      </c>
      <c r="N44" s="7" t="s">
        <v>305</v>
      </c>
      <c r="O44" s="7" t="s">
        <v>305</v>
      </c>
    </row>
    <row r="45" spans="1:15" x14ac:dyDescent="0.35">
      <c r="A45" s="7">
        <v>45</v>
      </c>
      <c r="B45" s="8">
        <v>45203</v>
      </c>
      <c r="C45" s="7" t="s">
        <v>12</v>
      </c>
      <c r="D45" s="7" t="s">
        <v>72</v>
      </c>
      <c r="E45" s="7" t="s">
        <v>62</v>
      </c>
      <c r="F45" s="7" t="s">
        <v>67</v>
      </c>
      <c r="G45" s="7">
        <v>3</v>
      </c>
      <c r="H45" s="7">
        <v>5000</v>
      </c>
      <c r="I45" s="7">
        <f t="shared" si="0"/>
        <v>15000</v>
      </c>
      <c r="J45" s="7">
        <f t="shared" si="1"/>
        <v>2023</v>
      </c>
      <c r="K45" s="7" t="str">
        <f t="shared" si="2"/>
        <v>October</v>
      </c>
      <c r="L45" s="7" t="str">
        <f t="shared" si="3"/>
        <v>Q4</v>
      </c>
      <c r="M45" s="7" t="s">
        <v>305</v>
      </c>
      <c r="N45" s="7" t="s">
        <v>306</v>
      </c>
      <c r="O45" s="7" t="s">
        <v>305</v>
      </c>
    </row>
    <row r="46" spans="1:15" x14ac:dyDescent="0.35">
      <c r="A46" s="7">
        <v>46</v>
      </c>
      <c r="B46" s="8">
        <v>44967</v>
      </c>
      <c r="C46" s="7" t="s">
        <v>34</v>
      </c>
      <c r="D46" s="7" t="s">
        <v>61</v>
      </c>
      <c r="E46" s="7" t="s">
        <v>66</v>
      </c>
      <c r="F46" s="7" t="s">
        <v>67</v>
      </c>
      <c r="G46" s="7">
        <v>5</v>
      </c>
      <c r="H46" s="7">
        <v>20000</v>
      </c>
      <c r="I46" s="7">
        <f t="shared" si="0"/>
        <v>100000</v>
      </c>
      <c r="J46" s="7">
        <f t="shared" si="1"/>
        <v>2023</v>
      </c>
      <c r="K46" s="7" t="str">
        <f t="shared" si="2"/>
        <v>February</v>
      </c>
      <c r="L46" s="7" t="str">
        <f t="shared" si="3"/>
        <v>Q1</v>
      </c>
      <c r="M46" s="7" t="s">
        <v>308</v>
      </c>
      <c r="N46" s="7" t="s">
        <v>305</v>
      </c>
      <c r="O46" s="7" t="s">
        <v>305</v>
      </c>
    </row>
    <row r="47" spans="1:15" x14ac:dyDescent="0.35">
      <c r="A47" s="7">
        <v>47</v>
      </c>
      <c r="B47" s="8">
        <v>45083</v>
      </c>
      <c r="C47" s="7" t="s">
        <v>35</v>
      </c>
      <c r="D47" s="7" t="s">
        <v>60</v>
      </c>
      <c r="E47" s="7" t="s">
        <v>65</v>
      </c>
      <c r="F47" s="7" t="s">
        <v>68</v>
      </c>
      <c r="G47" s="7">
        <v>3</v>
      </c>
      <c r="H47" s="7">
        <v>10000</v>
      </c>
      <c r="I47" s="7">
        <f t="shared" si="0"/>
        <v>30000</v>
      </c>
      <c r="J47" s="7">
        <f t="shared" si="1"/>
        <v>2023</v>
      </c>
      <c r="K47" s="7" t="str">
        <f t="shared" si="2"/>
        <v>June</v>
      </c>
      <c r="L47" s="7" t="str">
        <f t="shared" si="3"/>
        <v>Q2</v>
      </c>
      <c r="M47" s="7" t="s">
        <v>305</v>
      </c>
      <c r="N47" s="7" t="s">
        <v>305</v>
      </c>
      <c r="O47" s="7" t="s">
        <v>306</v>
      </c>
    </row>
    <row r="48" spans="1:15" x14ac:dyDescent="0.35">
      <c r="A48" s="7">
        <v>48</v>
      </c>
      <c r="B48" s="8">
        <v>44943</v>
      </c>
      <c r="C48" s="7" t="s">
        <v>36</v>
      </c>
      <c r="D48" s="7" t="s">
        <v>72</v>
      </c>
      <c r="E48" s="7" t="s">
        <v>66</v>
      </c>
      <c r="F48" s="7" t="s">
        <v>68</v>
      </c>
      <c r="G48" s="7">
        <v>5</v>
      </c>
      <c r="H48" s="7">
        <v>10000</v>
      </c>
      <c r="I48" s="7">
        <f t="shared" si="0"/>
        <v>50000</v>
      </c>
      <c r="J48" s="7">
        <f t="shared" si="1"/>
        <v>2023</v>
      </c>
      <c r="K48" s="7" t="str">
        <f t="shared" si="2"/>
        <v>January</v>
      </c>
      <c r="L48" s="7" t="str">
        <f t="shared" si="3"/>
        <v>Q1</v>
      </c>
      <c r="M48" s="7" t="s">
        <v>305</v>
      </c>
      <c r="N48" s="7" t="s">
        <v>305</v>
      </c>
      <c r="O48" s="7" t="s">
        <v>306</v>
      </c>
    </row>
    <row r="49" spans="1:15" x14ac:dyDescent="0.35">
      <c r="A49" s="7">
        <v>49</v>
      </c>
      <c r="B49" s="8">
        <v>45026</v>
      </c>
      <c r="C49" s="7" t="s">
        <v>37</v>
      </c>
      <c r="D49" s="7" t="s">
        <v>61</v>
      </c>
      <c r="E49" s="7" t="s">
        <v>65</v>
      </c>
      <c r="F49" s="7" t="s">
        <v>68</v>
      </c>
      <c r="G49" s="7">
        <v>3</v>
      </c>
      <c r="H49" s="7">
        <v>10000</v>
      </c>
      <c r="I49" s="7">
        <f t="shared" si="0"/>
        <v>30000</v>
      </c>
      <c r="J49" s="7">
        <f t="shared" si="1"/>
        <v>2023</v>
      </c>
      <c r="K49" s="7" t="str">
        <f t="shared" si="2"/>
        <v>April</v>
      </c>
      <c r="L49" s="7" t="str">
        <f t="shared" si="3"/>
        <v>Q2</v>
      </c>
      <c r="M49" s="7" t="s">
        <v>305</v>
      </c>
      <c r="N49" s="7" t="s">
        <v>306</v>
      </c>
      <c r="O49" s="7" t="s">
        <v>306</v>
      </c>
    </row>
    <row r="50" spans="1:15" x14ac:dyDescent="0.35">
      <c r="A50" s="7">
        <v>50</v>
      </c>
      <c r="B50" s="8">
        <v>45036</v>
      </c>
      <c r="C50" s="7" t="s">
        <v>38</v>
      </c>
      <c r="D50" s="7" t="s">
        <v>59</v>
      </c>
      <c r="E50" s="7" t="s">
        <v>64</v>
      </c>
      <c r="F50" s="7" t="s">
        <v>67</v>
      </c>
      <c r="G50" s="7">
        <v>1</v>
      </c>
      <c r="H50" s="7">
        <v>10000</v>
      </c>
      <c r="I50" s="7">
        <f t="shared" si="0"/>
        <v>10000</v>
      </c>
      <c r="J50" s="7">
        <f t="shared" si="1"/>
        <v>2023</v>
      </c>
      <c r="K50" s="7" t="str">
        <f t="shared" si="2"/>
        <v>April</v>
      </c>
      <c r="L50" s="7" t="str">
        <f t="shared" si="3"/>
        <v>Q2</v>
      </c>
      <c r="M50" s="7" t="s">
        <v>305</v>
      </c>
      <c r="N50" s="7" t="s">
        <v>305</v>
      </c>
      <c r="O50" s="7" t="s">
        <v>306</v>
      </c>
    </row>
    <row r="51" spans="1:15" x14ac:dyDescent="0.35">
      <c r="A51" s="7">
        <v>51</v>
      </c>
      <c r="B51" s="8">
        <v>45102</v>
      </c>
      <c r="C51" s="7" t="s">
        <v>39</v>
      </c>
      <c r="D51" s="7" t="s">
        <v>72</v>
      </c>
      <c r="E51" s="7" t="s">
        <v>75</v>
      </c>
      <c r="F51" s="7" t="s">
        <v>76</v>
      </c>
      <c r="G51" s="7">
        <v>3</v>
      </c>
      <c r="H51" s="7">
        <v>1000</v>
      </c>
      <c r="I51" s="7">
        <f t="shared" si="0"/>
        <v>3000</v>
      </c>
      <c r="J51" s="7">
        <f t="shared" si="1"/>
        <v>2023</v>
      </c>
      <c r="K51" s="7" t="str">
        <f t="shared" si="2"/>
        <v>June</v>
      </c>
      <c r="L51" s="7" t="str">
        <f t="shared" si="3"/>
        <v>Q2</v>
      </c>
      <c r="M51" s="7" t="s">
        <v>299</v>
      </c>
      <c r="N51" s="7" t="s">
        <v>305</v>
      </c>
      <c r="O51" s="7" t="s">
        <v>305</v>
      </c>
    </row>
    <row r="52" spans="1:15" x14ac:dyDescent="0.35">
      <c r="A52" s="7">
        <v>52</v>
      </c>
      <c r="B52" s="8">
        <v>45007</v>
      </c>
      <c r="C52" s="7" t="s">
        <v>34</v>
      </c>
      <c r="D52" s="7" t="s">
        <v>72</v>
      </c>
      <c r="E52" s="7" t="s">
        <v>64</v>
      </c>
      <c r="F52" s="7" t="s">
        <v>67</v>
      </c>
      <c r="G52" s="7">
        <v>5</v>
      </c>
      <c r="H52" s="7">
        <v>1000</v>
      </c>
      <c r="I52" s="7">
        <f t="shared" si="0"/>
        <v>5000</v>
      </c>
      <c r="J52" s="7">
        <f t="shared" si="1"/>
        <v>2023</v>
      </c>
      <c r="K52" s="7" t="str">
        <f t="shared" si="2"/>
        <v>March</v>
      </c>
      <c r="L52" s="7" t="str">
        <f t="shared" si="3"/>
        <v>Q1</v>
      </c>
      <c r="M52" s="7" t="s">
        <v>305</v>
      </c>
      <c r="N52" s="7" t="s">
        <v>305</v>
      </c>
      <c r="O52" s="7" t="s">
        <v>305</v>
      </c>
    </row>
    <row r="53" spans="1:15" x14ac:dyDescent="0.35">
      <c r="A53" s="7">
        <v>53</v>
      </c>
      <c r="B53" s="8">
        <v>45288</v>
      </c>
      <c r="C53" s="7" t="s">
        <v>73</v>
      </c>
      <c r="D53" s="7" t="s">
        <v>60</v>
      </c>
      <c r="E53" s="7" t="s">
        <v>75</v>
      </c>
      <c r="F53" s="7" t="s">
        <v>76</v>
      </c>
      <c r="G53" s="7">
        <v>1</v>
      </c>
      <c r="H53" s="9">
        <v>10000</v>
      </c>
      <c r="I53" s="7">
        <f t="shared" si="0"/>
        <v>10000</v>
      </c>
      <c r="J53" s="7">
        <f t="shared" si="1"/>
        <v>2023</v>
      </c>
      <c r="K53" s="7" t="str">
        <f t="shared" si="2"/>
        <v>December</v>
      </c>
      <c r="L53" s="7" t="str">
        <f t="shared" si="3"/>
        <v>Q4</v>
      </c>
      <c r="M53" s="7" t="s">
        <v>299</v>
      </c>
      <c r="N53" s="7" t="s">
        <v>305</v>
      </c>
      <c r="O53" s="7" t="s">
        <v>305</v>
      </c>
    </row>
    <row r="54" spans="1:15" x14ac:dyDescent="0.35">
      <c r="A54" s="7">
        <v>54</v>
      </c>
      <c r="B54" s="8">
        <v>45001</v>
      </c>
      <c r="C54" s="7" t="s">
        <v>40</v>
      </c>
      <c r="D54" s="7" t="s">
        <v>60</v>
      </c>
      <c r="E54" s="7" t="s">
        <v>75</v>
      </c>
      <c r="F54" s="7" t="s">
        <v>68</v>
      </c>
      <c r="G54" s="7">
        <v>1</v>
      </c>
      <c r="H54" s="7">
        <v>10000</v>
      </c>
      <c r="I54" s="7">
        <f t="shared" si="0"/>
        <v>10000</v>
      </c>
      <c r="J54" s="7">
        <f t="shared" si="1"/>
        <v>2023</v>
      </c>
      <c r="K54" s="7" t="str">
        <f t="shared" si="2"/>
        <v>March</v>
      </c>
      <c r="L54" s="7" t="str">
        <f t="shared" si="3"/>
        <v>Q1</v>
      </c>
      <c r="M54" s="7" t="s">
        <v>298</v>
      </c>
      <c r="N54" s="7" t="s">
        <v>305</v>
      </c>
      <c r="O54" s="7" t="s">
        <v>306</v>
      </c>
    </row>
    <row r="55" spans="1:15" x14ac:dyDescent="0.35">
      <c r="A55" s="7">
        <v>55</v>
      </c>
      <c r="B55" s="8">
        <v>45077</v>
      </c>
      <c r="C55" s="7" t="s">
        <v>29</v>
      </c>
      <c r="D55" s="7" t="s">
        <v>59</v>
      </c>
      <c r="E55" s="7" t="s">
        <v>64</v>
      </c>
      <c r="F55" s="7" t="s">
        <v>67</v>
      </c>
      <c r="G55" s="7">
        <v>2</v>
      </c>
      <c r="H55" s="7">
        <v>30000</v>
      </c>
      <c r="I55" s="7">
        <f t="shared" si="0"/>
        <v>60000</v>
      </c>
      <c r="J55" s="7">
        <f t="shared" si="1"/>
        <v>2023</v>
      </c>
      <c r="K55" s="7" t="str">
        <f t="shared" si="2"/>
        <v>May</v>
      </c>
      <c r="L55" s="7" t="str">
        <f t="shared" si="3"/>
        <v>Q2</v>
      </c>
      <c r="M55" s="7" t="s">
        <v>305</v>
      </c>
      <c r="N55" s="7" t="s">
        <v>305</v>
      </c>
      <c r="O55" s="7" t="s">
        <v>305</v>
      </c>
    </row>
    <row r="56" spans="1:15" x14ac:dyDescent="0.35">
      <c r="A56" s="7">
        <v>56</v>
      </c>
      <c r="B56" s="8">
        <v>45025</v>
      </c>
      <c r="C56" s="7" t="s">
        <v>26</v>
      </c>
      <c r="D56" s="7" t="s">
        <v>59</v>
      </c>
      <c r="E56" s="7" t="s">
        <v>66</v>
      </c>
      <c r="F56" s="7" t="s">
        <v>68</v>
      </c>
      <c r="G56" s="7">
        <v>3</v>
      </c>
      <c r="H56" s="7">
        <v>1000</v>
      </c>
      <c r="I56" s="7">
        <f t="shared" si="0"/>
        <v>3000</v>
      </c>
      <c r="J56" s="7">
        <f t="shared" si="1"/>
        <v>2023</v>
      </c>
      <c r="K56" s="7" t="str">
        <f t="shared" si="2"/>
        <v>April</v>
      </c>
      <c r="L56" s="7" t="str">
        <f t="shared" si="3"/>
        <v>Q2</v>
      </c>
      <c r="M56" s="7" t="s">
        <v>305</v>
      </c>
      <c r="N56" s="7" t="s">
        <v>306</v>
      </c>
      <c r="O56" s="7" t="s">
        <v>305</v>
      </c>
    </row>
    <row r="57" spans="1:15" x14ac:dyDescent="0.35">
      <c r="A57" s="7">
        <v>57</v>
      </c>
      <c r="B57" s="8">
        <v>45239</v>
      </c>
      <c r="C57" s="7" t="s">
        <v>41</v>
      </c>
      <c r="D57" s="7" t="s">
        <v>72</v>
      </c>
      <c r="E57" s="7" t="s">
        <v>64</v>
      </c>
      <c r="F57" s="7" t="s">
        <v>68</v>
      </c>
      <c r="G57" s="7">
        <v>2</v>
      </c>
      <c r="H57" s="7">
        <v>30000</v>
      </c>
      <c r="I57" s="7">
        <f t="shared" si="0"/>
        <v>60000</v>
      </c>
      <c r="J57" s="7">
        <f t="shared" si="1"/>
        <v>2023</v>
      </c>
      <c r="K57" s="7" t="str">
        <f t="shared" si="2"/>
        <v>November</v>
      </c>
      <c r="L57" s="7" t="str">
        <f t="shared" si="3"/>
        <v>Q4</v>
      </c>
      <c r="M57" s="7" t="s">
        <v>305</v>
      </c>
      <c r="N57" s="7" t="s">
        <v>305</v>
      </c>
      <c r="O57" s="7" t="s">
        <v>305</v>
      </c>
    </row>
    <row r="58" spans="1:15" x14ac:dyDescent="0.35">
      <c r="A58" s="7">
        <v>58</v>
      </c>
      <c r="B58" s="8">
        <v>45194</v>
      </c>
      <c r="C58" s="7" t="s">
        <v>42</v>
      </c>
      <c r="D58" s="7" t="s">
        <v>72</v>
      </c>
      <c r="E58" s="7" t="s">
        <v>75</v>
      </c>
      <c r="F58" s="7" t="s">
        <v>68</v>
      </c>
      <c r="G58" s="7">
        <v>1</v>
      </c>
      <c r="H58" s="7">
        <v>5000</v>
      </c>
      <c r="I58" s="7">
        <f t="shared" si="0"/>
        <v>5000</v>
      </c>
      <c r="J58" s="7">
        <f t="shared" si="1"/>
        <v>2023</v>
      </c>
      <c r="K58" s="7" t="str">
        <f t="shared" si="2"/>
        <v>September</v>
      </c>
      <c r="L58" s="7" t="str">
        <f t="shared" si="3"/>
        <v>Q3</v>
      </c>
      <c r="M58" s="7" t="s">
        <v>298</v>
      </c>
      <c r="N58" s="7" t="s">
        <v>305</v>
      </c>
      <c r="O58" s="7" t="s">
        <v>305</v>
      </c>
    </row>
    <row r="59" spans="1:15" x14ac:dyDescent="0.35">
      <c r="A59" s="7">
        <v>59</v>
      </c>
      <c r="B59" s="8">
        <v>44967</v>
      </c>
      <c r="C59" s="7" t="s">
        <v>43</v>
      </c>
      <c r="D59" s="7" t="s">
        <v>59</v>
      </c>
      <c r="E59" s="7" t="s">
        <v>65</v>
      </c>
      <c r="F59" s="7" t="s">
        <v>67</v>
      </c>
      <c r="G59" s="7">
        <v>5</v>
      </c>
      <c r="H59" s="7">
        <v>10000</v>
      </c>
      <c r="I59" s="7">
        <f t="shared" si="0"/>
        <v>50000</v>
      </c>
      <c r="J59" s="7">
        <f t="shared" si="1"/>
        <v>2023</v>
      </c>
      <c r="K59" s="7" t="str">
        <f t="shared" si="2"/>
        <v>February</v>
      </c>
      <c r="L59" s="7" t="str">
        <f t="shared" si="3"/>
        <v>Q1</v>
      </c>
      <c r="M59" s="7" t="s">
        <v>308</v>
      </c>
      <c r="N59" s="7" t="s">
        <v>305</v>
      </c>
      <c r="O59" s="7" t="s">
        <v>306</v>
      </c>
    </row>
    <row r="60" spans="1:15" x14ac:dyDescent="0.35">
      <c r="A60" s="7">
        <v>60</v>
      </c>
      <c r="B60" s="8">
        <v>45048</v>
      </c>
      <c r="C60" s="7" t="s">
        <v>44</v>
      </c>
      <c r="D60" s="7" t="s">
        <v>59</v>
      </c>
      <c r="E60" s="7" t="s">
        <v>64</v>
      </c>
      <c r="F60" s="7" t="s">
        <v>67</v>
      </c>
      <c r="G60" s="7">
        <v>4</v>
      </c>
      <c r="H60" s="7">
        <v>5000</v>
      </c>
      <c r="I60" s="7">
        <f t="shared" si="0"/>
        <v>20000</v>
      </c>
      <c r="J60" s="7">
        <f t="shared" si="1"/>
        <v>2023</v>
      </c>
      <c r="K60" s="7" t="str">
        <f t="shared" si="2"/>
        <v>May</v>
      </c>
      <c r="L60" s="7" t="str">
        <f t="shared" si="3"/>
        <v>Q2</v>
      </c>
      <c r="M60" s="7" t="s">
        <v>305</v>
      </c>
      <c r="N60" s="7" t="s">
        <v>305</v>
      </c>
      <c r="O60" s="7" t="s">
        <v>305</v>
      </c>
    </row>
    <row r="61" spans="1:15" x14ac:dyDescent="0.35">
      <c r="A61" s="7">
        <v>61</v>
      </c>
      <c r="B61" s="8">
        <v>44995</v>
      </c>
      <c r="C61" s="7" t="s">
        <v>45</v>
      </c>
      <c r="D61" s="7" t="s">
        <v>59</v>
      </c>
      <c r="E61" s="7" t="s">
        <v>62</v>
      </c>
      <c r="F61" s="7" t="s">
        <v>68</v>
      </c>
      <c r="G61" s="7">
        <v>2</v>
      </c>
      <c r="H61" s="7">
        <v>30000</v>
      </c>
      <c r="I61" s="7">
        <f t="shared" si="0"/>
        <v>60000</v>
      </c>
      <c r="J61" s="7">
        <f t="shared" si="1"/>
        <v>2023</v>
      </c>
      <c r="K61" s="7" t="str">
        <f t="shared" si="2"/>
        <v>March</v>
      </c>
      <c r="L61" s="7" t="str">
        <f t="shared" si="3"/>
        <v>Q1</v>
      </c>
      <c r="M61" s="7" t="s">
        <v>305</v>
      </c>
      <c r="N61" s="7" t="s">
        <v>305</v>
      </c>
      <c r="O61" s="7" t="s">
        <v>305</v>
      </c>
    </row>
    <row r="62" spans="1:15" x14ac:dyDescent="0.35">
      <c r="A62" s="7">
        <v>62</v>
      </c>
      <c r="B62" s="8">
        <v>45279</v>
      </c>
      <c r="C62" s="7" t="s">
        <v>42</v>
      </c>
      <c r="D62" s="7" t="s">
        <v>59</v>
      </c>
      <c r="E62" s="7" t="s">
        <v>63</v>
      </c>
      <c r="F62" s="7" t="s">
        <v>67</v>
      </c>
      <c r="G62" s="7">
        <v>4</v>
      </c>
      <c r="H62" s="9">
        <v>10000</v>
      </c>
      <c r="I62" s="7">
        <f t="shared" si="0"/>
        <v>40000</v>
      </c>
      <c r="J62" s="7">
        <f t="shared" si="1"/>
        <v>2023</v>
      </c>
      <c r="K62" s="7" t="str">
        <f t="shared" si="2"/>
        <v>December</v>
      </c>
      <c r="L62" s="7" t="str">
        <f t="shared" si="3"/>
        <v>Q4</v>
      </c>
      <c r="M62" s="7" t="s">
        <v>308</v>
      </c>
      <c r="N62" s="7" t="s">
        <v>305</v>
      </c>
      <c r="O62" s="7" t="s">
        <v>305</v>
      </c>
    </row>
    <row r="63" spans="1:15" x14ac:dyDescent="0.35">
      <c r="A63" s="7">
        <v>63</v>
      </c>
      <c r="B63" s="8">
        <v>45025</v>
      </c>
      <c r="C63" s="7" t="s">
        <v>35</v>
      </c>
      <c r="D63" s="7" t="s">
        <v>72</v>
      </c>
      <c r="E63" s="7" t="s">
        <v>62</v>
      </c>
      <c r="F63" s="7" t="s">
        <v>67</v>
      </c>
      <c r="G63" s="7">
        <v>4</v>
      </c>
      <c r="H63" s="9">
        <v>10000</v>
      </c>
      <c r="I63" s="7">
        <f t="shared" si="0"/>
        <v>40000</v>
      </c>
      <c r="J63" s="7">
        <f t="shared" si="1"/>
        <v>2023</v>
      </c>
      <c r="K63" s="7" t="str">
        <f t="shared" si="2"/>
        <v>April</v>
      </c>
      <c r="L63" s="7" t="str">
        <f t="shared" si="3"/>
        <v>Q2</v>
      </c>
      <c r="M63" s="7" t="s">
        <v>305</v>
      </c>
      <c r="N63" s="7" t="s">
        <v>305</v>
      </c>
      <c r="O63" s="7" t="s">
        <v>305</v>
      </c>
    </row>
    <row r="64" spans="1:15" x14ac:dyDescent="0.35">
      <c r="A64" s="7">
        <v>64</v>
      </c>
      <c r="B64" s="8">
        <v>45096</v>
      </c>
      <c r="C64" s="7" t="s">
        <v>12</v>
      </c>
      <c r="D64" s="7" t="s">
        <v>59</v>
      </c>
      <c r="E64" s="7" t="s">
        <v>66</v>
      </c>
      <c r="F64" s="7" t="s">
        <v>67</v>
      </c>
      <c r="G64" s="7">
        <v>3</v>
      </c>
      <c r="H64" s="7">
        <v>20000</v>
      </c>
      <c r="I64" s="7">
        <f t="shared" si="0"/>
        <v>60000</v>
      </c>
      <c r="J64" s="7">
        <f t="shared" si="1"/>
        <v>2023</v>
      </c>
      <c r="K64" s="7" t="str">
        <f t="shared" si="2"/>
        <v>June</v>
      </c>
      <c r="L64" s="7" t="str">
        <f t="shared" si="3"/>
        <v>Q2</v>
      </c>
      <c r="M64" s="7" t="s">
        <v>309</v>
      </c>
      <c r="N64" s="7" t="s">
        <v>306</v>
      </c>
      <c r="O64" s="7" t="s">
        <v>305</v>
      </c>
    </row>
    <row r="65" spans="1:17" x14ac:dyDescent="0.35">
      <c r="A65" s="7">
        <v>65</v>
      </c>
      <c r="B65" s="8">
        <v>45044</v>
      </c>
      <c r="C65" s="7" t="s">
        <v>46</v>
      </c>
      <c r="D65" s="7" t="s">
        <v>59</v>
      </c>
      <c r="E65" s="7" t="s">
        <v>65</v>
      </c>
      <c r="F65" s="7" t="s">
        <v>68</v>
      </c>
      <c r="G65" s="7">
        <v>5</v>
      </c>
      <c r="H65" s="7">
        <v>10000</v>
      </c>
      <c r="I65" s="7">
        <f t="shared" si="0"/>
        <v>50000</v>
      </c>
      <c r="J65" s="7">
        <f t="shared" si="1"/>
        <v>2023</v>
      </c>
      <c r="K65" s="7" t="str">
        <f t="shared" si="2"/>
        <v>April</v>
      </c>
      <c r="L65" s="7" t="str">
        <f t="shared" si="3"/>
        <v>Q2</v>
      </c>
      <c r="M65" s="7" t="s">
        <v>305</v>
      </c>
      <c r="N65" s="7" t="s">
        <v>305</v>
      </c>
      <c r="O65" s="7" t="s">
        <v>306</v>
      </c>
    </row>
    <row r="66" spans="1:17" x14ac:dyDescent="0.35">
      <c r="A66" s="7">
        <v>66</v>
      </c>
      <c r="B66" s="8">
        <v>45250</v>
      </c>
      <c r="C66" s="7" t="s">
        <v>34</v>
      </c>
      <c r="D66" s="7" t="s">
        <v>72</v>
      </c>
      <c r="E66" s="7" t="s">
        <v>64</v>
      </c>
      <c r="F66" s="7" t="s">
        <v>67</v>
      </c>
      <c r="G66" s="7">
        <v>3</v>
      </c>
      <c r="H66" s="7">
        <v>30000</v>
      </c>
      <c r="I66" s="7">
        <f t="shared" si="0"/>
        <v>90000</v>
      </c>
      <c r="J66" s="7">
        <f t="shared" si="1"/>
        <v>2023</v>
      </c>
      <c r="K66" s="7" t="str">
        <f t="shared" si="2"/>
        <v>November</v>
      </c>
      <c r="L66" s="7" t="str">
        <f t="shared" si="3"/>
        <v>Q4</v>
      </c>
      <c r="M66" s="7" t="s">
        <v>305</v>
      </c>
      <c r="N66" s="7" t="s">
        <v>305</v>
      </c>
      <c r="O66" s="7" t="s">
        <v>305</v>
      </c>
    </row>
    <row r="67" spans="1:17" x14ac:dyDescent="0.35">
      <c r="A67" s="7">
        <v>67</v>
      </c>
      <c r="B67" s="8">
        <v>45279</v>
      </c>
      <c r="C67" s="7" t="s">
        <v>18</v>
      </c>
      <c r="D67" s="7" t="s">
        <v>61</v>
      </c>
      <c r="E67" s="7" t="s">
        <v>64</v>
      </c>
      <c r="F67" s="7" t="s">
        <v>67</v>
      </c>
      <c r="G67" s="7">
        <v>3</v>
      </c>
      <c r="H67" s="9">
        <v>10000</v>
      </c>
      <c r="I67" s="7">
        <f t="shared" ref="I67:I130" si="4">G67*H67</f>
        <v>30000</v>
      </c>
      <c r="J67" s="7">
        <f t="shared" ref="J67:J130" si="5">IF(B67="","Unknown",YEAR(B67))</f>
        <v>2023</v>
      </c>
      <c r="K67" s="7" t="str">
        <f t="shared" ref="K67:K130" si="6">IF(B67="","Unknown",TEXT(B67,"mmmm"))</f>
        <v>December</v>
      </c>
      <c r="L67" s="7" t="str">
        <f t="shared" ref="L67:L130" si="7">IF(B67="","Unknown","Q"&amp;ROUNDUP(MONTH(B67)/3,0))</f>
        <v>Q4</v>
      </c>
      <c r="M67" s="7" t="s">
        <v>308</v>
      </c>
      <c r="N67" s="7" t="s">
        <v>306</v>
      </c>
      <c r="O67" s="7" t="s">
        <v>305</v>
      </c>
    </row>
    <row r="68" spans="1:17" x14ac:dyDescent="0.35">
      <c r="A68" s="7">
        <v>68</v>
      </c>
      <c r="B68" s="8">
        <v>45172</v>
      </c>
      <c r="C68" s="7" t="s">
        <v>44</v>
      </c>
      <c r="D68" s="7" t="s">
        <v>72</v>
      </c>
      <c r="E68" s="7" t="s">
        <v>66</v>
      </c>
      <c r="F68" s="7" t="s">
        <v>67</v>
      </c>
      <c r="G68" s="7">
        <v>3</v>
      </c>
      <c r="H68" s="7">
        <v>20000</v>
      </c>
      <c r="I68" s="7">
        <f t="shared" si="4"/>
        <v>60000</v>
      </c>
      <c r="J68" s="7">
        <f t="shared" si="5"/>
        <v>2023</v>
      </c>
      <c r="K68" s="7" t="str">
        <f t="shared" si="6"/>
        <v>September</v>
      </c>
      <c r="L68" s="7" t="str">
        <f t="shared" si="7"/>
        <v>Q3</v>
      </c>
      <c r="M68" s="7" t="s">
        <v>305</v>
      </c>
      <c r="N68" s="7" t="s">
        <v>306</v>
      </c>
      <c r="O68" s="7" t="s">
        <v>305</v>
      </c>
    </row>
    <row r="69" spans="1:17" x14ac:dyDescent="0.35">
      <c r="A69" s="7">
        <v>69</v>
      </c>
      <c r="B69" s="8">
        <v>45154</v>
      </c>
      <c r="C69" s="7" t="s">
        <v>38</v>
      </c>
      <c r="D69" s="7" t="s">
        <v>59</v>
      </c>
      <c r="E69" s="7" t="s">
        <v>63</v>
      </c>
      <c r="F69" s="7" t="s">
        <v>67</v>
      </c>
      <c r="G69" s="7">
        <v>2</v>
      </c>
      <c r="H69" s="7">
        <v>20000</v>
      </c>
      <c r="I69" s="7">
        <f t="shared" si="4"/>
        <v>40000</v>
      </c>
      <c r="J69" s="7">
        <f t="shared" si="5"/>
        <v>2023</v>
      </c>
      <c r="K69" s="7" t="str">
        <f t="shared" si="6"/>
        <v>August</v>
      </c>
      <c r="L69" s="7" t="str">
        <f t="shared" si="7"/>
        <v>Q3</v>
      </c>
      <c r="M69" s="7" t="s">
        <v>305</v>
      </c>
      <c r="N69" s="7" t="s">
        <v>305</v>
      </c>
      <c r="O69" s="7" t="s">
        <v>305</v>
      </c>
    </row>
    <row r="70" spans="1:17" x14ac:dyDescent="0.35">
      <c r="A70" s="7">
        <v>70</v>
      </c>
      <c r="B70" s="8">
        <v>45193</v>
      </c>
      <c r="C70" s="7" t="s">
        <v>39</v>
      </c>
      <c r="D70" s="7" t="s">
        <v>59</v>
      </c>
      <c r="E70" s="7" t="s">
        <v>64</v>
      </c>
      <c r="F70" s="7" t="s">
        <v>67</v>
      </c>
      <c r="G70" s="7">
        <v>4</v>
      </c>
      <c r="H70" s="9">
        <v>10000</v>
      </c>
      <c r="I70" s="7">
        <f t="shared" si="4"/>
        <v>40000</v>
      </c>
      <c r="J70" s="7">
        <f t="shared" si="5"/>
        <v>2023</v>
      </c>
      <c r="K70" s="7" t="str">
        <f t="shared" si="6"/>
        <v>September</v>
      </c>
      <c r="L70" s="7" t="str">
        <f t="shared" si="7"/>
        <v>Q3</v>
      </c>
      <c r="M70" s="7" t="s">
        <v>308</v>
      </c>
      <c r="N70" s="7" t="s">
        <v>305</v>
      </c>
      <c r="O70" s="7" t="s">
        <v>305</v>
      </c>
    </row>
    <row r="71" spans="1:17" x14ac:dyDescent="0.35">
      <c r="A71" s="7">
        <v>71</v>
      </c>
      <c r="B71" s="8">
        <v>44933</v>
      </c>
      <c r="C71" s="7" t="s">
        <v>37</v>
      </c>
      <c r="D71" s="7" t="s">
        <v>61</v>
      </c>
      <c r="E71" s="7" t="s">
        <v>64</v>
      </c>
      <c r="F71" s="7" t="s">
        <v>68</v>
      </c>
      <c r="G71" s="7">
        <v>4</v>
      </c>
      <c r="H71" s="7">
        <v>20000</v>
      </c>
      <c r="I71" s="7">
        <f t="shared" si="4"/>
        <v>80000</v>
      </c>
      <c r="J71" s="7">
        <f t="shared" si="5"/>
        <v>2023</v>
      </c>
      <c r="K71" s="7" t="str">
        <f t="shared" si="6"/>
        <v>January</v>
      </c>
      <c r="L71" s="7" t="str">
        <f t="shared" si="7"/>
        <v>Q1</v>
      </c>
      <c r="M71" s="7" t="s">
        <v>305</v>
      </c>
      <c r="N71" s="7" t="s">
        <v>305</v>
      </c>
      <c r="O71" s="7" t="s">
        <v>305</v>
      </c>
    </row>
    <row r="72" spans="1:17" x14ac:dyDescent="0.35">
      <c r="A72" s="7">
        <v>72</v>
      </c>
      <c r="B72" s="8">
        <v>44985</v>
      </c>
      <c r="C72" s="7" t="s">
        <v>47</v>
      </c>
      <c r="D72" s="7" t="s">
        <v>59</v>
      </c>
      <c r="E72" s="7" t="s">
        <v>63</v>
      </c>
      <c r="F72" s="7" t="s">
        <v>67</v>
      </c>
      <c r="G72" s="7">
        <v>3</v>
      </c>
      <c r="H72" s="7">
        <v>30000</v>
      </c>
      <c r="I72" s="7">
        <f t="shared" si="4"/>
        <v>90000</v>
      </c>
      <c r="J72" s="7">
        <f t="shared" si="5"/>
        <v>2023</v>
      </c>
      <c r="K72" s="7" t="str">
        <f t="shared" si="6"/>
        <v>February</v>
      </c>
      <c r="L72" s="7" t="str">
        <f t="shared" si="7"/>
        <v>Q1</v>
      </c>
      <c r="M72" s="7" t="s">
        <v>305</v>
      </c>
      <c r="N72" s="7" t="s">
        <v>306</v>
      </c>
      <c r="O72" s="7" t="s">
        <v>305</v>
      </c>
    </row>
    <row r="73" spans="1:17" x14ac:dyDescent="0.35">
      <c r="A73" s="7">
        <v>73</v>
      </c>
      <c r="B73" s="8">
        <v>45262</v>
      </c>
      <c r="C73" s="7" t="s">
        <v>10</v>
      </c>
      <c r="D73" s="7" t="s">
        <v>60</v>
      </c>
      <c r="E73" s="7" t="s">
        <v>65</v>
      </c>
      <c r="F73" s="7" t="s">
        <v>68</v>
      </c>
      <c r="G73" s="7">
        <v>3</v>
      </c>
      <c r="H73" s="7">
        <v>5000</v>
      </c>
      <c r="I73" s="7">
        <f t="shared" si="4"/>
        <v>15000</v>
      </c>
      <c r="J73" s="7">
        <f t="shared" si="5"/>
        <v>2023</v>
      </c>
      <c r="K73" s="7" t="str">
        <f t="shared" si="6"/>
        <v>December</v>
      </c>
      <c r="L73" s="7" t="str">
        <f t="shared" si="7"/>
        <v>Q4</v>
      </c>
      <c r="M73" s="7" t="s">
        <v>305</v>
      </c>
      <c r="N73" s="7" t="s">
        <v>305</v>
      </c>
      <c r="O73" s="7" t="s">
        <v>305</v>
      </c>
    </row>
    <row r="74" spans="1:17" x14ac:dyDescent="0.35">
      <c r="A74" s="7">
        <v>74</v>
      </c>
      <c r="B74" s="8">
        <v>44964</v>
      </c>
      <c r="C74" s="7" t="s">
        <v>22</v>
      </c>
      <c r="D74" s="7" t="s">
        <v>72</v>
      </c>
      <c r="E74" s="7" t="s">
        <v>75</v>
      </c>
      <c r="F74" s="7" t="s">
        <v>68</v>
      </c>
      <c r="G74" s="7">
        <v>2</v>
      </c>
      <c r="H74" s="9">
        <v>10000</v>
      </c>
      <c r="I74" s="7">
        <f t="shared" si="4"/>
        <v>20000</v>
      </c>
      <c r="J74" s="7">
        <f t="shared" si="5"/>
        <v>2023</v>
      </c>
      <c r="K74" s="7" t="str">
        <f t="shared" si="6"/>
        <v>February</v>
      </c>
      <c r="L74" s="7" t="str">
        <f t="shared" si="7"/>
        <v>Q1</v>
      </c>
      <c r="M74" s="7" t="s">
        <v>298</v>
      </c>
      <c r="N74" s="7" t="s">
        <v>305</v>
      </c>
      <c r="O74" s="7" t="s">
        <v>305</v>
      </c>
    </row>
    <row r="75" spans="1:17" x14ac:dyDescent="0.35">
      <c r="A75" s="7">
        <v>75</v>
      </c>
      <c r="B75" s="8">
        <v>45036</v>
      </c>
      <c r="C75" s="7" t="s">
        <v>30</v>
      </c>
      <c r="D75" s="7" t="s">
        <v>61</v>
      </c>
      <c r="E75" s="7" t="s">
        <v>64</v>
      </c>
      <c r="F75" s="7" t="s">
        <v>67</v>
      </c>
      <c r="G75" s="7">
        <v>2</v>
      </c>
      <c r="H75" s="7">
        <v>30000</v>
      </c>
      <c r="I75" s="7">
        <f t="shared" si="4"/>
        <v>60000</v>
      </c>
      <c r="J75" s="7">
        <f t="shared" si="5"/>
        <v>2023</v>
      </c>
      <c r="K75" s="7" t="str">
        <f t="shared" si="6"/>
        <v>April</v>
      </c>
      <c r="L75" s="7" t="str">
        <f t="shared" si="7"/>
        <v>Q2</v>
      </c>
      <c r="M75" s="7" t="s">
        <v>305</v>
      </c>
      <c r="N75" s="7" t="s">
        <v>305</v>
      </c>
      <c r="O75" s="7" t="s">
        <v>305</v>
      </c>
    </row>
    <row r="76" spans="1:17" x14ac:dyDescent="0.35">
      <c r="A76" s="7">
        <v>76</v>
      </c>
      <c r="B76" s="8">
        <v>45286</v>
      </c>
      <c r="C76" s="7" t="s">
        <v>73</v>
      </c>
      <c r="D76" s="7" t="s">
        <v>72</v>
      </c>
      <c r="E76" s="7" t="s">
        <v>65</v>
      </c>
      <c r="F76" s="7" t="s">
        <v>68</v>
      </c>
      <c r="G76" s="7">
        <v>5</v>
      </c>
      <c r="H76" s="7">
        <v>20000</v>
      </c>
      <c r="I76" s="7">
        <f t="shared" si="4"/>
        <v>100000</v>
      </c>
      <c r="J76" s="7">
        <f t="shared" si="5"/>
        <v>2023</v>
      </c>
      <c r="K76" s="7" t="str">
        <f t="shared" si="6"/>
        <v>December</v>
      </c>
      <c r="L76" s="7" t="str">
        <f t="shared" si="7"/>
        <v>Q4</v>
      </c>
      <c r="M76" s="7" t="s">
        <v>305</v>
      </c>
      <c r="N76" s="7" t="s">
        <v>305</v>
      </c>
      <c r="O76" s="7" t="s">
        <v>305</v>
      </c>
    </row>
    <row r="77" spans="1:17" x14ac:dyDescent="0.35">
      <c r="A77" s="7">
        <v>77</v>
      </c>
      <c r="B77" s="8">
        <v>45234</v>
      </c>
      <c r="C77" s="7" t="s">
        <v>48</v>
      </c>
      <c r="D77" s="7" t="s">
        <v>59</v>
      </c>
      <c r="E77" s="7" t="s">
        <v>64</v>
      </c>
      <c r="F77" s="7" t="s">
        <v>68</v>
      </c>
      <c r="G77" s="7">
        <v>5</v>
      </c>
      <c r="H77" s="7">
        <v>30000</v>
      </c>
      <c r="I77" s="7">
        <f t="shared" si="4"/>
        <v>150000</v>
      </c>
      <c r="J77" s="7">
        <f t="shared" si="5"/>
        <v>2023</v>
      </c>
      <c r="K77" s="7" t="str">
        <f t="shared" si="6"/>
        <v>November</v>
      </c>
      <c r="L77" s="7" t="str">
        <f t="shared" si="7"/>
        <v>Q4</v>
      </c>
      <c r="M77" s="7" t="s">
        <v>305</v>
      </c>
      <c r="N77" s="7" t="s">
        <v>305</v>
      </c>
      <c r="O77" s="7" t="s">
        <v>305</v>
      </c>
    </row>
    <row r="78" spans="1:17" x14ac:dyDescent="0.35">
      <c r="A78" s="7">
        <v>78</v>
      </c>
      <c r="B78" s="8">
        <v>45262</v>
      </c>
      <c r="C78" s="7" t="s">
        <v>49</v>
      </c>
      <c r="D78" s="7" t="s">
        <v>59</v>
      </c>
      <c r="E78" s="7" t="s">
        <v>62</v>
      </c>
      <c r="F78" s="7" t="s">
        <v>67</v>
      </c>
      <c r="G78" s="7">
        <v>2</v>
      </c>
      <c r="H78" s="9">
        <v>10000</v>
      </c>
      <c r="I78" s="7">
        <f t="shared" si="4"/>
        <v>20000</v>
      </c>
      <c r="J78" s="7">
        <f t="shared" si="5"/>
        <v>2023</v>
      </c>
      <c r="K78" s="7" t="str">
        <f t="shared" si="6"/>
        <v>December</v>
      </c>
      <c r="L78" s="7" t="str">
        <f t="shared" si="7"/>
        <v>Q4</v>
      </c>
      <c r="M78" s="7" t="s">
        <v>305</v>
      </c>
      <c r="N78" s="7" t="s">
        <v>305</v>
      </c>
      <c r="O78" s="7" t="s">
        <v>305</v>
      </c>
    </row>
    <row r="79" spans="1:17" x14ac:dyDescent="0.35">
      <c r="A79" s="7">
        <v>79</v>
      </c>
      <c r="B79" s="8">
        <v>45231</v>
      </c>
      <c r="C79" s="7" t="s">
        <v>33</v>
      </c>
      <c r="D79" s="7" t="s">
        <v>61</v>
      </c>
      <c r="E79" s="7" t="s">
        <v>65</v>
      </c>
      <c r="F79" s="7" t="s">
        <v>67</v>
      </c>
      <c r="G79" s="7">
        <v>3</v>
      </c>
      <c r="H79" s="7">
        <v>5000</v>
      </c>
      <c r="I79" s="7">
        <f t="shared" si="4"/>
        <v>15000</v>
      </c>
      <c r="J79" s="7">
        <f t="shared" si="5"/>
        <v>2023</v>
      </c>
      <c r="K79" s="7" t="str">
        <f t="shared" si="6"/>
        <v>November</v>
      </c>
      <c r="L79" s="7" t="str">
        <f t="shared" si="7"/>
        <v>Q4</v>
      </c>
      <c r="M79" s="7" t="s">
        <v>308</v>
      </c>
      <c r="N79" s="7" t="s">
        <v>306</v>
      </c>
      <c r="O79" s="7" t="s">
        <v>305</v>
      </c>
      <c r="Q79">
        <f>MEDIAN(H11:H247)</f>
        <v>10000</v>
      </c>
    </row>
    <row r="80" spans="1:17" x14ac:dyDescent="0.35">
      <c r="A80" s="7">
        <v>80</v>
      </c>
      <c r="B80" s="8">
        <v>45270</v>
      </c>
      <c r="C80" s="7" t="s">
        <v>23</v>
      </c>
      <c r="D80" s="7" t="s">
        <v>61</v>
      </c>
      <c r="E80" s="7" t="s">
        <v>64</v>
      </c>
      <c r="F80" s="7" t="s">
        <v>67</v>
      </c>
      <c r="G80" s="7">
        <v>3</v>
      </c>
      <c r="H80" s="9">
        <v>10000</v>
      </c>
      <c r="I80" s="7">
        <f t="shared" si="4"/>
        <v>30000</v>
      </c>
      <c r="J80" s="7">
        <f t="shared" si="5"/>
        <v>2023</v>
      </c>
      <c r="K80" s="7" t="str">
        <f t="shared" si="6"/>
        <v>December</v>
      </c>
      <c r="L80" s="7" t="str">
        <f t="shared" si="7"/>
        <v>Q4</v>
      </c>
      <c r="M80" s="7" t="s">
        <v>305</v>
      </c>
      <c r="N80" s="7" t="s">
        <v>306</v>
      </c>
      <c r="O80" s="7" t="s">
        <v>305</v>
      </c>
    </row>
    <row r="81" spans="1:15" x14ac:dyDescent="0.35">
      <c r="A81" s="7">
        <v>81</v>
      </c>
      <c r="B81" s="8">
        <v>44979</v>
      </c>
      <c r="C81" s="7" t="s">
        <v>50</v>
      </c>
      <c r="D81" s="7" t="s">
        <v>59</v>
      </c>
      <c r="E81" s="7" t="s">
        <v>75</v>
      </c>
      <c r="F81" s="7" t="s">
        <v>76</v>
      </c>
      <c r="G81" s="7">
        <v>5</v>
      </c>
      <c r="H81" s="9">
        <v>10000</v>
      </c>
      <c r="I81" s="7">
        <f t="shared" si="4"/>
        <v>50000</v>
      </c>
      <c r="J81" s="7">
        <f t="shared" si="5"/>
        <v>2023</v>
      </c>
      <c r="K81" s="7" t="str">
        <f t="shared" si="6"/>
        <v>February</v>
      </c>
      <c r="L81" s="7" t="str">
        <f t="shared" si="7"/>
        <v>Q1</v>
      </c>
      <c r="M81" s="7" t="s">
        <v>299</v>
      </c>
      <c r="N81" s="7" t="s">
        <v>305</v>
      </c>
      <c r="O81" s="7" t="s">
        <v>305</v>
      </c>
    </row>
    <row r="82" spans="1:15" x14ac:dyDescent="0.35">
      <c r="A82" s="7">
        <v>82</v>
      </c>
      <c r="B82" s="8">
        <v>44936</v>
      </c>
      <c r="C82" s="7" t="s">
        <v>15</v>
      </c>
      <c r="D82" s="7" t="s">
        <v>60</v>
      </c>
      <c r="E82" s="7" t="s">
        <v>63</v>
      </c>
      <c r="F82" s="7" t="s">
        <v>67</v>
      </c>
      <c r="G82" s="7">
        <v>2</v>
      </c>
      <c r="H82" s="7">
        <v>5000</v>
      </c>
      <c r="I82" s="7">
        <f t="shared" si="4"/>
        <v>10000</v>
      </c>
      <c r="J82" s="7">
        <f t="shared" si="5"/>
        <v>2023</v>
      </c>
      <c r="K82" s="7" t="str">
        <f t="shared" si="6"/>
        <v>January</v>
      </c>
      <c r="L82" s="7" t="str">
        <f t="shared" si="7"/>
        <v>Q1</v>
      </c>
      <c r="M82" s="7" t="s">
        <v>305</v>
      </c>
      <c r="N82" s="7" t="s">
        <v>305</v>
      </c>
      <c r="O82" s="7" t="s">
        <v>305</v>
      </c>
    </row>
    <row r="83" spans="1:15" x14ac:dyDescent="0.35">
      <c r="A83" s="7">
        <v>83</v>
      </c>
      <c r="B83" s="8">
        <v>45007</v>
      </c>
      <c r="C83" s="7" t="s">
        <v>51</v>
      </c>
      <c r="D83" s="7" t="s">
        <v>59</v>
      </c>
      <c r="E83" s="7" t="s">
        <v>65</v>
      </c>
      <c r="F83" s="7" t="s">
        <v>67</v>
      </c>
      <c r="G83" s="7">
        <v>3</v>
      </c>
      <c r="H83" s="7">
        <v>10000</v>
      </c>
      <c r="I83" s="7">
        <f t="shared" si="4"/>
        <v>30000</v>
      </c>
      <c r="J83" s="7">
        <f t="shared" si="5"/>
        <v>2023</v>
      </c>
      <c r="K83" s="7" t="str">
        <f t="shared" si="6"/>
        <v>March</v>
      </c>
      <c r="L83" s="7" t="str">
        <f t="shared" si="7"/>
        <v>Q1</v>
      </c>
      <c r="M83" s="7" t="s">
        <v>305</v>
      </c>
      <c r="N83" s="7" t="s">
        <v>306</v>
      </c>
      <c r="O83" s="7" t="s">
        <v>306</v>
      </c>
    </row>
    <row r="84" spans="1:15" x14ac:dyDescent="0.35">
      <c r="A84" s="7">
        <v>84</v>
      </c>
      <c r="B84" s="8">
        <v>45109</v>
      </c>
      <c r="C84" s="7" t="s">
        <v>73</v>
      </c>
      <c r="D84" s="7" t="s">
        <v>59</v>
      </c>
      <c r="E84" s="7" t="s">
        <v>75</v>
      </c>
      <c r="F84" s="7" t="s">
        <v>68</v>
      </c>
      <c r="G84" s="7">
        <v>2</v>
      </c>
      <c r="H84" s="7">
        <v>10000</v>
      </c>
      <c r="I84" s="7">
        <f t="shared" si="4"/>
        <v>20000</v>
      </c>
      <c r="J84" s="7">
        <f t="shared" si="5"/>
        <v>2023</v>
      </c>
      <c r="K84" s="7" t="str">
        <f t="shared" si="6"/>
        <v>July</v>
      </c>
      <c r="L84" s="7" t="str">
        <f t="shared" si="7"/>
        <v>Q3</v>
      </c>
      <c r="M84" s="7" t="s">
        <v>298</v>
      </c>
      <c r="N84" s="7" t="s">
        <v>305</v>
      </c>
      <c r="O84" s="7" t="s">
        <v>306</v>
      </c>
    </row>
    <row r="85" spans="1:15" x14ac:dyDescent="0.35">
      <c r="A85" s="7">
        <v>85</v>
      </c>
      <c r="B85" s="8">
        <v>45122</v>
      </c>
      <c r="C85" s="7" t="s">
        <v>13</v>
      </c>
      <c r="D85" s="7" t="s">
        <v>72</v>
      </c>
      <c r="E85" s="7" t="s">
        <v>66</v>
      </c>
      <c r="F85" s="7" t="s">
        <v>68</v>
      </c>
      <c r="G85" s="7">
        <v>3</v>
      </c>
      <c r="H85" s="7">
        <v>30000</v>
      </c>
      <c r="I85" s="7">
        <f t="shared" si="4"/>
        <v>90000</v>
      </c>
      <c r="J85" s="7">
        <f t="shared" si="5"/>
        <v>2023</v>
      </c>
      <c r="K85" s="7" t="str">
        <f t="shared" si="6"/>
        <v>July</v>
      </c>
      <c r="L85" s="7" t="str">
        <f t="shared" si="7"/>
        <v>Q3</v>
      </c>
      <c r="M85" s="7" t="s">
        <v>305</v>
      </c>
      <c r="N85" s="7" t="s">
        <v>306</v>
      </c>
      <c r="O85" s="7" t="s">
        <v>305</v>
      </c>
    </row>
    <row r="86" spans="1:15" x14ac:dyDescent="0.35">
      <c r="A86" s="7">
        <v>86</v>
      </c>
      <c r="B86" s="8">
        <v>45135</v>
      </c>
      <c r="C86" s="7" t="s">
        <v>20</v>
      </c>
      <c r="D86" s="7" t="s">
        <v>72</v>
      </c>
      <c r="E86" s="7" t="s">
        <v>62</v>
      </c>
      <c r="F86" s="7" t="s">
        <v>67</v>
      </c>
      <c r="G86" s="7">
        <v>3</v>
      </c>
      <c r="H86" s="7">
        <v>1000</v>
      </c>
      <c r="I86" s="7">
        <f t="shared" si="4"/>
        <v>3000</v>
      </c>
      <c r="J86" s="7">
        <f t="shared" si="5"/>
        <v>2023</v>
      </c>
      <c r="K86" s="7" t="str">
        <f t="shared" si="6"/>
        <v>July</v>
      </c>
      <c r="L86" s="7" t="str">
        <f t="shared" si="7"/>
        <v>Q3</v>
      </c>
      <c r="M86" s="7" t="s">
        <v>305</v>
      </c>
      <c r="N86" s="7" t="s">
        <v>306</v>
      </c>
      <c r="O86" s="7" t="s">
        <v>305</v>
      </c>
    </row>
    <row r="87" spans="1:15" x14ac:dyDescent="0.35">
      <c r="A87" s="7">
        <v>87</v>
      </c>
      <c r="B87" s="8">
        <v>45096</v>
      </c>
      <c r="C87" s="7" t="s">
        <v>52</v>
      </c>
      <c r="D87" s="7" t="s">
        <v>60</v>
      </c>
      <c r="E87" s="7" t="s">
        <v>66</v>
      </c>
      <c r="F87" s="7" t="s">
        <v>68</v>
      </c>
      <c r="G87" s="7">
        <v>5</v>
      </c>
      <c r="H87" s="9">
        <v>10000</v>
      </c>
      <c r="I87" s="7">
        <f t="shared" si="4"/>
        <v>50000</v>
      </c>
      <c r="J87" s="7">
        <f t="shared" si="5"/>
        <v>2023</v>
      </c>
      <c r="K87" s="7" t="str">
        <f t="shared" si="6"/>
        <v>June</v>
      </c>
      <c r="L87" s="7" t="str">
        <f t="shared" si="7"/>
        <v>Q2</v>
      </c>
      <c r="M87" s="7" t="s">
        <v>305</v>
      </c>
      <c r="N87" s="7" t="s">
        <v>305</v>
      </c>
      <c r="O87" s="7" t="s">
        <v>305</v>
      </c>
    </row>
    <row r="88" spans="1:15" x14ac:dyDescent="0.35">
      <c r="A88" s="7">
        <v>88</v>
      </c>
      <c r="B88" s="8">
        <v>45228</v>
      </c>
      <c r="C88" s="7" t="s">
        <v>73</v>
      </c>
      <c r="D88" s="7" t="s">
        <v>59</v>
      </c>
      <c r="E88" s="7" t="s">
        <v>64</v>
      </c>
      <c r="F88" s="7" t="s">
        <v>67</v>
      </c>
      <c r="G88" s="7">
        <v>3</v>
      </c>
      <c r="H88" s="7">
        <v>5000</v>
      </c>
      <c r="I88" s="7">
        <f t="shared" si="4"/>
        <v>15000</v>
      </c>
      <c r="J88" s="7">
        <f t="shared" si="5"/>
        <v>2023</v>
      </c>
      <c r="K88" s="7" t="str">
        <f t="shared" si="6"/>
        <v>October</v>
      </c>
      <c r="L88" s="7" t="str">
        <f t="shared" si="7"/>
        <v>Q4</v>
      </c>
      <c r="M88" s="7" t="s">
        <v>308</v>
      </c>
      <c r="N88" s="7" t="s">
        <v>305</v>
      </c>
      <c r="O88" s="7" t="s">
        <v>305</v>
      </c>
    </row>
    <row r="89" spans="1:15" x14ac:dyDescent="0.35">
      <c r="A89" s="7">
        <v>89</v>
      </c>
      <c r="B89" s="8">
        <v>45165</v>
      </c>
      <c r="C89" s="7" t="s">
        <v>12</v>
      </c>
      <c r="D89" s="7" t="s">
        <v>59</v>
      </c>
      <c r="E89" s="7" t="s">
        <v>65</v>
      </c>
      <c r="F89" s="7" t="s">
        <v>67</v>
      </c>
      <c r="G89" s="7">
        <v>5</v>
      </c>
      <c r="H89" s="7">
        <v>10000</v>
      </c>
      <c r="I89" s="7">
        <f t="shared" si="4"/>
        <v>50000</v>
      </c>
      <c r="J89" s="7">
        <f t="shared" si="5"/>
        <v>2023</v>
      </c>
      <c r="K89" s="7" t="str">
        <f t="shared" si="6"/>
        <v>August</v>
      </c>
      <c r="L89" s="7" t="str">
        <f t="shared" si="7"/>
        <v>Q3</v>
      </c>
      <c r="M89" s="7" t="s">
        <v>308</v>
      </c>
      <c r="N89" s="7" t="s">
        <v>305</v>
      </c>
      <c r="O89" s="7" t="s">
        <v>306</v>
      </c>
    </row>
    <row r="90" spans="1:15" x14ac:dyDescent="0.35">
      <c r="A90" s="7">
        <v>90</v>
      </c>
      <c r="B90" s="8">
        <v>45151</v>
      </c>
      <c r="C90" s="7" t="s">
        <v>45</v>
      </c>
      <c r="D90" s="7" t="s">
        <v>59</v>
      </c>
      <c r="E90" s="7" t="s">
        <v>64</v>
      </c>
      <c r="F90" s="7" t="s">
        <v>67</v>
      </c>
      <c r="G90" s="7">
        <v>3</v>
      </c>
      <c r="H90" s="9">
        <v>10000</v>
      </c>
      <c r="I90" s="7">
        <f t="shared" si="4"/>
        <v>30000</v>
      </c>
      <c r="J90" s="7">
        <f t="shared" si="5"/>
        <v>2023</v>
      </c>
      <c r="K90" s="7" t="str">
        <f t="shared" si="6"/>
        <v>August</v>
      </c>
      <c r="L90" s="7" t="str">
        <f t="shared" si="7"/>
        <v>Q3</v>
      </c>
      <c r="M90" s="7" t="s">
        <v>308</v>
      </c>
      <c r="N90" s="7" t="s">
        <v>305</v>
      </c>
      <c r="O90" s="7" t="s">
        <v>305</v>
      </c>
    </row>
    <row r="91" spans="1:15" x14ac:dyDescent="0.35">
      <c r="A91" s="7">
        <v>91</v>
      </c>
      <c r="B91" s="8">
        <v>45243</v>
      </c>
      <c r="C91" s="7" t="s">
        <v>52</v>
      </c>
      <c r="D91" s="7" t="s">
        <v>61</v>
      </c>
      <c r="E91" s="7" t="s">
        <v>62</v>
      </c>
      <c r="F91" s="7" t="s">
        <v>67</v>
      </c>
      <c r="G91" s="7">
        <v>1</v>
      </c>
      <c r="H91" s="9">
        <v>10000</v>
      </c>
      <c r="I91" s="7">
        <f t="shared" si="4"/>
        <v>10000</v>
      </c>
      <c r="J91" s="7">
        <f t="shared" si="5"/>
        <v>2023</v>
      </c>
      <c r="K91" s="7" t="str">
        <f t="shared" si="6"/>
        <v>November</v>
      </c>
      <c r="L91" s="7" t="str">
        <f t="shared" si="7"/>
        <v>Q4</v>
      </c>
      <c r="M91" s="7" t="s">
        <v>305</v>
      </c>
      <c r="N91" s="7" t="s">
        <v>305</v>
      </c>
      <c r="O91" s="7" t="s">
        <v>305</v>
      </c>
    </row>
    <row r="92" spans="1:15" x14ac:dyDescent="0.35">
      <c r="A92" s="7">
        <v>92</v>
      </c>
      <c r="B92" s="8">
        <v>45027</v>
      </c>
      <c r="C92" s="7" t="s">
        <v>11</v>
      </c>
      <c r="D92" s="7" t="s">
        <v>72</v>
      </c>
      <c r="E92" s="7" t="s">
        <v>66</v>
      </c>
      <c r="F92" s="7" t="s">
        <v>67</v>
      </c>
      <c r="G92" s="7">
        <v>2</v>
      </c>
      <c r="H92" s="7">
        <v>30000</v>
      </c>
      <c r="I92" s="7">
        <f t="shared" si="4"/>
        <v>60000</v>
      </c>
      <c r="J92" s="7">
        <f t="shared" si="5"/>
        <v>2023</v>
      </c>
      <c r="K92" s="7" t="str">
        <f t="shared" si="6"/>
        <v>April</v>
      </c>
      <c r="L92" s="7" t="str">
        <f t="shared" si="7"/>
        <v>Q2</v>
      </c>
      <c r="M92" s="7" t="s">
        <v>305</v>
      </c>
      <c r="N92" s="7" t="s">
        <v>305</v>
      </c>
      <c r="O92" s="7" t="s">
        <v>305</v>
      </c>
    </row>
    <row r="93" spans="1:15" x14ac:dyDescent="0.35">
      <c r="A93" s="7">
        <v>93</v>
      </c>
      <c r="B93" s="8">
        <v>45016</v>
      </c>
      <c r="C93" s="7" t="s">
        <v>53</v>
      </c>
      <c r="D93" s="7" t="s">
        <v>60</v>
      </c>
      <c r="E93" s="7" t="s">
        <v>65</v>
      </c>
      <c r="F93" s="7" t="s">
        <v>68</v>
      </c>
      <c r="G93" s="7">
        <v>3</v>
      </c>
      <c r="H93" s="7">
        <v>10000</v>
      </c>
      <c r="I93" s="7">
        <f t="shared" si="4"/>
        <v>30000</v>
      </c>
      <c r="J93" s="7">
        <f t="shared" si="5"/>
        <v>2023</v>
      </c>
      <c r="K93" s="7" t="str">
        <f t="shared" si="6"/>
        <v>March</v>
      </c>
      <c r="L93" s="7" t="str">
        <f t="shared" si="7"/>
        <v>Q1</v>
      </c>
      <c r="M93" s="7" t="s">
        <v>305</v>
      </c>
      <c r="N93" s="7" t="s">
        <v>306</v>
      </c>
      <c r="O93" s="7" t="s">
        <v>306</v>
      </c>
    </row>
    <row r="94" spans="1:15" x14ac:dyDescent="0.35">
      <c r="A94" s="7">
        <v>94</v>
      </c>
      <c r="B94" s="8">
        <v>45116</v>
      </c>
      <c r="C94" s="7" t="s">
        <v>15</v>
      </c>
      <c r="D94" s="7" t="s">
        <v>61</v>
      </c>
      <c r="E94" s="7" t="s">
        <v>63</v>
      </c>
      <c r="F94" s="7" t="s">
        <v>67</v>
      </c>
      <c r="G94" s="7">
        <v>3</v>
      </c>
      <c r="H94" s="7">
        <v>30000</v>
      </c>
      <c r="I94" s="7">
        <f t="shared" si="4"/>
        <v>90000</v>
      </c>
      <c r="J94" s="7">
        <f t="shared" si="5"/>
        <v>2023</v>
      </c>
      <c r="K94" s="7" t="str">
        <f t="shared" si="6"/>
        <v>July</v>
      </c>
      <c r="L94" s="7" t="str">
        <f t="shared" si="7"/>
        <v>Q3</v>
      </c>
      <c r="M94" s="7" t="s">
        <v>308</v>
      </c>
      <c r="N94" s="7" t="s">
        <v>306</v>
      </c>
      <c r="O94" s="7" t="s">
        <v>305</v>
      </c>
    </row>
    <row r="95" spans="1:15" x14ac:dyDescent="0.35">
      <c r="A95" s="7">
        <v>95</v>
      </c>
      <c r="B95" s="8">
        <v>44968</v>
      </c>
      <c r="C95" s="7" t="s">
        <v>54</v>
      </c>
      <c r="D95" s="7" t="s">
        <v>72</v>
      </c>
      <c r="E95" s="7" t="s">
        <v>66</v>
      </c>
      <c r="F95" s="7" t="s">
        <v>67</v>
      </c>
      <c r="G95" s="7">
        <v>5</v>
      </c>
      <c r="H95" s="7">
        <v>30000</v>
      </c>
      <c r="I95" s="7">
        <f t="shared" si="4"/>
        <v>150000</v>
      </c>
      <c r="J95" s="7">
        <f t="shared" si="5"/>
        <v>2023</v>
      </c>
      <c r="K95" s="7" t="str">
        <f t="shared" si="6"/>
        <v>February</v>
      </c>
      <c r="L95" s="7" t="str">
        <f t="shared" si="7"/>
        <v>Q1</v>
      </c>
      <c r="M95" s="7" t="s">
        <v>308</v>
      </c>
      <c r="N95" s="7" t="s">
        <v>305</v>
      </c>
      <c r="O95" s="7" t="s">
        <v>305</v>
      </c>
    </row>
    <row r="96" spans="1:15" x14ac:dyDescent="0.35">
      <c r="A96" s="7">
        <v>96</v>
      </c>
      <c r="B96" s="8">
        <v>45281</v>
      </c>
      <c r="C96" s="7" t="s">
        <v>47</v>
      </c>
      <c r="D96" s="7" t="s">
        <v>72</v>
      </c>
      <c r="E96" s="7" t="s">
        <v>65</v>
      </c>
      <c r="F96" s="7" t="s">
        <v>67</v>
      </c>
      <c r="G96" s="7">
        <v>3</v>
      </c>
      <c r="H96" s="7">
        <v>30000</v>
      </c>
      <c r="I96" s="7">
        <f t="shared" si="4"/>
        <v>90000</v>
      </c>
      <c r="J96" s="7">
        <f t="shared" si="5"/>
        <v>2023</v>
      </c>
      <c r="K96" s="7" t="str">
        <f t="shared" si="6"/>
        <v>December</v>
      </c>
      <c r="L96" s="7" t="str">
        <f t="shared" si="7"/>
        <v>Q4</v>
      </c>
      <c r="M96" s="7" t="s">
        <v>305</v>
      </c>
      <c r="N96" s="7" t="s">
        <v>305</v>
      </c>
      <c r="O96" s="7" t="s">
        <v>305</v>
      </c>
    </row>
    <row r="97" spans="1:15" x14ac:dyDescent="0.35">
      <c r="A97" s="7">
        <v>97</v>
      </c>
      <c r="B97" s="8">
        <v>44983</v>
      </c>
      <c r="C97" s="7" t="s">
        <v>27</v>
      </c>
      <c r="D97" s="7" t="s">
        <v>60</v>
      </c>
      <c r="E97" s="7" t="s">
        <v>64</v>
      </c>
      <c r="F97" s="7" t="s">
        <v>67</v>
      </c>
      <c r="G97" s="7">
        <v>5</v>
      </c>
      <c r="H97" s="7">
        <v>5000</v>
      </c>
      <c r="I97" s="7">
        <f t="shared" si="4"/>
        <v>25000</v>
      </c>
      <c r="J97" s="7">
        <f t="shared" si="5"/>
        <v>2023</v>
      </c>
      <c r="K97" s="7" t="str">
        <f t="shared" si="6"/>
        <v>February</v>
      </c>
      <c r="L97" s="7" t="str">
        <f t="shared" si="7"/>
        <v>Q1</v>
      </c>
      <c r="M97" s="7" t="s">
        <v>305</v>
      </c>
      <c r="N97" s="7" t="s">
        <v>305</v>
      </c>
      <c r="O97" s="7" t="s">
        <v>305</v>
      </c>
    </row>
    <row r="98" spans="1:15" x14ac:dyDescent="0.35">
      <c r="A98" s="7">
        <v>98</v>
      </c>
      <c r="B98" s="8">
        <v>45144</v>
      </c>
      <c r="C98" s="7" t="s">
        <v>73</v>
      </c>
      <c r="D98" s="7" t="s">
        <v>61</v>
      </c>
      <c r="E98" s="7" t="s">
        <v>66</v>
      </c>
      <c r="F98" s="7" t="s">
        <v>68</v>
      </c>
      <c r="G98" s="7">
        <v>3</v>
      </c>
      <c r="H98" s="7">
        <v>1000</v>
      </c>
      <c r="I98" s="7">
        <f t="shared" si="4"/>
        <v>3000</v>
      </c>
      <c r="J98" s="7">
        <f t="shared" si="5"/>
        <v>2023</v>
      </c>
      <c r="K98" s="7" t="str">
        <f t="shared" si="6"/>
        <v>August</v>
      </c>
      <c r="L98" s="7" t="str">
        <f t="shared" si="7"/>
        <v>Q3</v>
      </c>
      <c r="M98" s="7" t="s">
        <v>305</v>
      </c>
      <c r="N98" s="7" t="s">
        <v>306</v>
      </c>
      <c r="O98" s="7" t="s">
        <v>305</v>
      </c>
    </row>
    <row r="99" spans="1:15" x14ac:dyDescent="0.35">
      <c r="A99" s="7">
        <v>99</v>
      </c>
      <c r="B99" s="8">
        <v>45204</v>
      </c>
      <c r="C99" s="7" t="s">
        <v>53</v>
      </c>
      <c r="D99" s="7" t="s">
        <v>60</v>
      </c>
      <c r="E99" s="7" t="s">
        <v>62</v>
      </c>
      <c r="F99" s="7" t="s">
        <v>68</v>
      </c>
      <c r="G99" s="7">
        <v>2</v>
      </c>
      <c r="H99" s="7">
        <v>20000</v>
      </c>
      <c r="I99" s="7">
        <f t="shared" si="4"/>
        <v>40000</v>
      </c>
      <c r="J99" s="7">
        <f t="shared" si="5"/>
        <v>2023</v>
      </c>
      <c r="K99" s="7" t="str">
        <f t="shared" si="6"/>
        <v>October</v>
      </c>
      <c r="L99" s="7" t="str">
        <f t="shared" si="7"/>
        <v>Q4</v>
      </c>
      <c r="M99" s="7" t="s">
        <v>305</v>
      </c>
      <c r="N99" s="7" t="s">
        <v>305</v>
      </c>
      <c r="O99" s="7" t="s">
        <v>305</v>
      </c>
    </row>
    <row r="100" spans="1:15" x14ac:dyDescent="0.35">
      <c r="A100" s="7">
        <v>100</v>
      </c>
      <c r="B100" s="8">
        <v>44968</v>
      </c>
      <c r="C100" s="7" t="s">
        <v>23</v>
      </c>
      <c r="D100" s="7" t="s">
        <v>61</v>
      </c>
      <c r="E100" s="7" t="s">
        <v>64</v>
      </c>
      <c r="F100" s="7" t="s">
        <v>68</v>
      </c>
      <c r="G100" s="7">
        <v>3</v>
      </c>
      <c r="H100" s="7">
        <v>5000</v>
      </c>
      <c r="I100" s="7">
        <f t="shared" si="4"/>
        <v>15000</v>
      </c>
      <c r="J100" s="7">
        <f t="shared" si="5"/>
        <v>2023</v>
      </c>
      <c r="K100" s="7" t="str">
        <f t="shared" si="6"/>
        <v>February</v>
      </c>
      <c r="L100" s="7" t="str">
        <f t="shared" si="7"/>
        <v>Q1</v>
      </c>
      <c r="M100" s="7" t="s">
        <v>305</v>
      </c>
      <c r="N100" s="7" t="s">
        <v>306</v>
      </c>
      <c r="O100" s="7" t="s">
        <v>305</v>
      </c>
    </row>
    <row r="101" spans="1:15" x14ac:dyDescent="0.35">
      <c r="A101" s="7">
        <v>101</v>
      </c>
      <c r="B101" s="8">
        <v>45094</v>
      </c>
      <c r="C101" s="7" t="s">
        <v>55</v>
      </c>
      <c r="D101" s="7" t="s">
        <v>59</v>
      </c>
      <c r="E101" s="7" t="s">
        <v>65</v>
      </c>
      <c r="F101" s="7" t="s">
        <v>67</v>
      </c>
      <c r="G101" s="7">
        <v>1</v>
      </c>
      <c r="H101" s="7">
        <v>5000</v>
      </c>
      <c r="I101" s="7">
        <f t="shared" si="4"/>
        <v>5000</v>
      </c>
      <c r="J101" s="7">
        <f t="shared" si="5"/>
        <v>2023</v>
      </c>
      <c r="K101" s="7" t="str">
        <f t="shared" si="6"/>
        <v>June</v>
      </c>
      <c r="L101" s="7" t="str">
        <f t="shared" si="7"/>
        <v>Q2</v>
      </c>
      <c r="M101" s="7" t="s">
        <v>305</v>
      </c>
      <c r="N101" s="7" t="s">
        <v>305</v>
      </c>
      <c r="O101" s="7" t="s">
        <v>305</v>
      </c>
    </row>
    <row r="102" spans="1:15" x14ac:dyDescent="0.35">
      <c r="A102" s="7">
        <v>102</v>
      </c>
      <c r="B102" s="8">
        <v>45073</v>
      </c>
      <c r="C102" s="7" t="s">
        <v>50</v>
      </c>
      <c r="D102" s="7" t="s">
        <v>61</v>
      </c>
      <c r="E102" s="7" t="s">
        <v>65</v>
      </c>
      <c r="F102" s="7" t="s">
        <v>67</v>
      </c>
      <c r="G102" s="7">
        <v>3</v>
      </c>
      <c r="H102" s="7">
        <v>5000</v>
      </c>
      <c r="I102" s="7">
        <f t="shared" si="4"/>
        <v>15000</v>
      </c>
      <c r="J102" s="7">
        <f t="shared" si="5"/>
        <v>2023</v>
      </c>
      <c r="K102" s="7" t="str">
        <f t="shared" si="6"/>
        <v>May</v>
      </c>
      <c r="L102" s="7" t="str">
        <f t="shared" si="7"/>
        <v>Q2</v>
      </c>
      <c r="M102" s="7" t="s">
        <v>308</v>
      </c>
      <c r="N102" s="7" t="s">
        <v>306</v>
      </c>
      <c r="O102" s="7" t="s">
        <v>305</v>
      </c>
    </row>
    <row r="103" spans="1:15" x14ac:dyDescent="0.35">
      <c r="A103" s="7">
        <v>103</v>
      </c>
      <c r="B103" s="8">
        <v>45072</v>
      </c>
      <c r="C103" s="7" t="s">
        <v>18</v>
      </c>
      <c r="D103" s="7" t="s">
        <v>72</v>
      </c>
      <c r="E103" s="7" t="s">
        <v>64</v>
      </c>
      <c r="F103" s="7" t="s">
        <v>67</v>
      </c>
      <c r="G103" s="7">
        <v>5</v>
      </c>
      <c r="H103" s="7">
        <v>10000</v>
      </c>
      <c r="I103" s="7">
        <f t="shared" si="4"/>
        <v>50000</v>
      </c>
      <c r="J103" s="7">
        <f t="shared" si="5"/>
        <v>2023</v>
      </c>
      <c r="K103" s="7" t="str">
        <f t="shared" si="6"/>
        <v>May</v>
      </c>
      <c r="L103" s="7" t="str">
        <f t="shared" si="7"/>
        <v>Q2</v>
      </c>
      <c r="M103" s="7" t="s">
        <v>308</v>
      </c>
      <c r="N103" s="7" t="s">
        <v>305</v>
      </c>
      <c r="O103" s="7" t="s">
        <v>306</v>
      </c>
    </row>
    <row r="104" spans="1:15" x14ac:dyDescent="0.35">
      <c r="A104" s="7">
        <v>104</v>
      </c>
      <c r="B104" s="8">
        <v>45202</v>
      </c>
      <c r="C104" s="7" t="s">
        <v>11</v>
      </c>
      <c r="D104" s="7" t="s">
        <v>61</v>
      </c>
      <c r="E104" s="7" t="s">
        <v>66</v>
      </c>
      <c r="F104" s="7" t="s">
        <v>67</v>
      </c>
      <c r="G104" s="7">
        <v>1</v>
      </c>
      <c r="H104" s="7">
        <v>5000</v>
      </c>
      <c r="I104" s="7">
        <f t="shared" si="4"/>
        <v>5000</v>
      </c>
      <c r="J104" s="7">
        <f t="shared" si="5"/>
        <v>2023</v>
      </c>
      <c r="K104" s="7" t="str">
        <f t="shared" si="6"/>
        <v>October</v>
      </c>
      <c r="L104" s="7" t="str">
        <f t="shared" si="7"/>
        <v>Q4</v>
      </c>
      <c r="M104" s="7" t="s">
        <v>305</v>
      </c>
      <c r="N104" s="7" t="s">
        <v>305</v>
      </c>
      <c r="O104" s="7" t="s">
        <v>305</v>
      </c>
    </row>
    <row r="105" spans="1:15" x14ac:dyDescent="0.35">
      <c r="A105" s="7">
        <v>105</v>
      </c>
      <c r="B105" s="8">
        <v>45111</v>
      </c>
      <c r="C105" s="7" t="s">
        <v>39</v>
      </c>
      <c r="D105" s="7" t="s">
        <v>72</v>
      </c>
      <c r="E105" s="7" t="s">
        <v>64</v>
      </c>
      <c r="F105" s="7" t="s">
        <v>67</v>
      </c>
      <c r="G105" s="7">
        <v>5</v>
      </c>
      <c r="H105" s="7">
        <v>5000</v>
      </c>
      <c r="I105" s="7">
        <f t="shared" si="4"/>
        <v>25000</v>
      </c>
      <c r="J105" s="7">
        <f t="shared" si="5"/>
        <v>2023</v>
      </c>
      <c r="K105" s="7" t="str">
        <f t="shared" si="6"/>
        <v>July</v>
      </c>
      <c r="L105" s="7" t="str">
        <f t="shared" si="7"/>
        <v>Q3</v>
      </c>
      <c r="M105" s="7" t="s">
        <v>308</v>
      </c>
      <c r="N105" s="7" t="s">
        <v>305</v>
      </c>
      <c r="O105" s="7" t="s">
        <v>305</v>
      </c>
    </row>
    <row r="106" spans="1:15" x14ac:dyDescent="0.35">
      <c r="A106" s="7">
        <v>106</v>
      </c>
      <c r="B106" s="8">
        <v>44962</v>
      </c>
      <c r="C106" s="7" t="s">
        <v>36</v>
      </c>
      <c r="D106" s="7" t="s">
        <v>61</v>
      </c>
      <c r="E106" s="7" t="s">
        <v>62</v>
      </c>
      <c r="F106" s="7" t="s">
        <v>68</v>
      </c>
      <c r="G106" s="7">
        <v>3</v>
      </c>
      <c r="H106" s="7">
        <v>5000</v>
      </c>
      <c r="I106" s="7">
        <f t="shared" si="4"/>
        <v>15000</v>
      </c>
      <c r="J106" s="7">
        <f t="shared" si="5"/>
        <v>2023</v>
      </c>
      <c r="K106" s="7" t="str">
        <f t="shared" si="6"/>
        <v>February</v>
      </c>
      <c r="L106" s="7" t="str">
        <f t="shared" si="7"/>
        <v>Q1</v>
      </c>
      <c r="M106" s="7" t="s">
        <v>305</v>
      </c>
      <c r="N106" s="7" t="s">
        <v>306</v>
      </c>
      <c r="O106" s="7" t="s">
        <v>305</v>
      </c>
    </row>
    <row r="107" spans="1:15" x14ac:dyDescent="0.35">
      <c r="A107" s="7">
        <v>107</v>
      </c>
      <c r="B107" s="8">
        <v>45141</v>
      </c>
      <c r="C107" s="7" t="s">
        <v>9</v>
      </c>
      <c r="D107" s="7" t="s">
        <v>60</v>
      </c>
      <c r="E107" s="7" t="s">
        <v>66</v>
      </c>
      <c r="F107" s="7" t="s">
        <v>67</v>
      </c>
      <c r="G107" s="7">
        <v>2</v>
      </c>
      <c r="H107" s="7">
        <v>10000</v>
      </c>
      <c r="I107" s="7">
        <f t="shared" si="4"/>
        <v>20000</v>
      </c>
      <c r="J107" s="7">
        <f t="shared" si="5"/>
        <v>2023</v>
      </c>
      <c r="K107" s="7" t="str">
        <f t="shared" si="6"/>
        <v>August</v>
      </c>
      <c r="L107" s="7" t="str">
        <f t="shared" si="7"/>
        <v>Q3</v>
      </c>
      <c r="M107" s="7" t="s">
        <v>305</v>
      </c>
      <c r="N107" s="7" t="s">
        <v>305</v>
      </c>
      <c r="O107" s="7" t="s">
        <v>306</v>
      </c>
    </row>
    <row r="108" spans="1:15" x14ac:dyDescent="0.35">
      <c r="A108" s="7">
        <v>108</v>
      </c>
      <c r="B108" s="8">
        <v>45063</v>
      </c>
      <c r="C108" s="7" t="s">
        <v>50</v>
      </c>
      <c r="D108" s="7" t="s">
        <v>59</v>
      </c>
      <c r="E108" s="7" t="s">
        <v>66</v>
      </c>
      <c r="F108" s="7" t="s">
        <v>68</v>
      </c>
      <c r="G108" s="7">
        <v>3</v>
      </c>
      <c r="H108" s="7">
        <v>10000</v>
      </c>
      <c r="I108" s="7">
        <f t="shared" si="4"/>
        <v>30000</v>
      </c>
      <c r="J108" s="7">
        <f t="shared" si="5"/>
        <v>2023</v>
      </c>
      <c r="K108" s="7" t="str">
        <f t="shared" si="6"/>
        <v>May</v>
      </c>
      <c r="L108" s="7" t="str">
        <f t="shared" si="7"/>
        <v>Q2</v>
      </c>
      <c r="M108" s="7" t="s">
        <v>305</v>
      </c>
      <c r="N108" s="7" t="s">
        <v>306</v>
      </c>
      <c r="O108" s="7" t="s">
        <v>306</v>
      </c>
    </row>
    <row r="109" spans="1:15" x14ac:dyDescent="0.35">
      <c r="A109" s="7">
        <v>109</v>
      </c>
      <c r="B109" s="8">
        <v>44995</v>
      </c>
      <c r="C109" s="7" t="s">
        <v>56</v>
      </c>
      <c r="D109" s="7" t="s">
        <v>59</v>
      </c>
      <c r="E109" s="7" t="s">
        <v>65</v>
      </c>
      <c r="F109" s="7" t="s">
        <v>67</v>
      </c>
      <c r="G109" s="7">
        <v>3</v>
      </c>
      <c r="H109" s="9">
        <v>10000</v>
      </c>
      <c r="I109" s="7">
        <f t="shared" si="4"/>
        <v>30000</v>
      </c>
      <c r="J109" s="7">
        <f t="shared" si="5"/>
        <v>2023</v>
      </c>
      <c r="K109" s="7" t="str">
        <f t="shared" si="6"/>
        <v>March</v>
      </c>
      <c r="L109" s="7" t="str">
        <f t="shared" si="7"/>
        <v>Q1</v>
      </c>
      <c r="M109" s="7" t="s">
        <v>305</v>
      </c>
      <c r="N109" s="7" t="s">
        <v>305</v>
      </c>
      <c r="O109" s="7" t="s">
        <v>305</v>
      </c>
    </row>
    <row r="110" spans="1:15" x14ac:dyDescent="0.35">
      <c r="A110" s="7">
        <v>110</v>
      </c>
      <c r="B110" s="8">
        <v>45091</v>
      </c>
      <c r="C110" s="7" t="s">
        <v>13</v>
      </c>
      <c r="D110" s="7" t="s">
        <v>72</v>
      </c>
      <c r="E110" s="7" t="s">
        <v>65</v>
      </c>
      <c r="F110" s="7" t="s">
        <v>67</v>
      </c>
      <c r="G110" s="7">
        <v>3</v>
      </c>
      <c r="H110" s="7">
        <v>30000</v>
      </c>
      <c r="I110" s="7">
        <f t="shared" si="4"/>
        <v>90000</v>
      </c>
      <c r="J110" s="7">
        <f t="shared" si="5"/>
        <v>2023</v>
      </c>
      <c r="K110" s="7" t="str">
        <f t="shared" si="6"/>
        <v>June</v>
      </c>
      <c r="L110" s="7" t="str">
        <f t="shared" si="7"/>
        <v>Q2</v>
      </c>
      <c r="M110" s="7" t="s">
        <v>308</v>
      </c>
      <c r="N110" s="7" t="s">
        <v>306</v>
      </c>
      <c r="O110" s="7" t="s">
        <v>305</v>
      </c>
    </row>
    <row r="111" spans="1:15" x14ac:dyDescent="0.35">
      <c r="A111" s="7">
        <v>111</v>
      </c>
      <c r="B111" s="8">
        <v>44975</v>
      </c>
      <c r="C111" s="7" t="s">
        <v>14</v>
      </c>
      <c r="D111" s="7" t="s">
        <v>72</v>
      </c>
      <c r="E111" s="7" t="s">
        <v>63</v>
      </c>
      <c r="F111" s="7" t="s">
        <v>67</v>
      </c>
      <c r="G111" s="7">
        <v>3</v>
      </c>
      <c r="H111" s="9">
        <v>10000</v>
      </c>
      <c r="I111" s="7">
        <f t="shared" si="4"/>
        <v>30000</v>
      </c>
      <c r="J111" s="7">
        <f t="shared" si="5"/>
        <v>2023</v>
      </c>
      <c r="K111" s="7" t="str">
        <f t="shared" si="6"/>
        <v>February</v>
      </c>
      <c r="L111" s="7" t="str">
        <f t="shared" si="7"/>
        <v>Q1</v>
      </c>
      <c r="M111" s="7" t="s">
        <v>305</v>
      </c>
      <c r="N111" s="7" t="s">
        <v>305</v>
      </c>
      <c r="O111" s="7" t="s">
        <v>305</v>
      </c>
    </row>
    <row r="112" spans="1:15" x14ac:dyDescent="0.35">
      <c r="A112" s="7">
        <v>112</v>
      </c>
      <c r="B112" s="8">
        <v>44999</v>
      </c>
      <c r="C112" s="7" t="s">
        <v>73</v>
      </c>
      <c r="D112" s="7" t="s">
        <v>59</v>
      </c>
      <c r="E112" s="7" t="s">
        <v>64</v>
      </c>
      <c r="F112" s="7" t="s">
        <v>67</v>
      </c>
      <c r="G112" s="7">
        <v>4</v>
      </c>
      <c r="H112" s="7">
        <v>10000</v>
      </c>
      <c r="I112" s="7">
        <f t="shared" si="4"/>
        <v>40000</v>
      </c>
      <c r="J112" s="7">
        <f t="shared" si="5"/>
        <v>2023</v>
      </c>
      <c r="K112" s="7" t="str">
        <f t="shared" si="6"/>
        <v>March</v>
      </c>
      <c r="L112" s="7" t="str">
        <f t="shared" si="7"/>
        <v>Q1</v>
      </c>
      <c r="M112" s="7" t="s">
        <v>305</v>
      </c>
      <c r="N112" s="7" t="s">
        <v>305</v>
      </c>
      <c r="O112" s="7" t="s">
        <v>306</v>
      </c>
    </row>
    <row r="113" spans="1:15" x14ac:dyDescent="0.35">
      <c r="A113" s="7">
        <v>113</v>
      </c>
      <c r="B113" s="8">
        <v>45096</v>
      </c>
      <c r="C113" s="7" t="s">
        <v>11</v>
      </c>
      <c r="D113" s="7" t="s">
        <v>59</v>
      </c>
      <c r="E113" s="7" t="s">
        <v>65</v>
      </c>
      <c r="F113" s="7" t="s">
        <v>67</v>
      </c>
      <c r="G113" s="7">
        <v>5</v>
      </c>
      <c r="H113" s="7">
        <v>30000</v>
      </c>
      <c r="I113" s="7">
        <f t="shared" si="4"/>
        <v>150000</v>
      </c>
      <c r="J113" s="7">
        <f t="shared" si="5"/>
        <v>2023</v>
      </c>
      <c r="K113" s="7" t="str">
        <f t="shared" si="6"/>
        <v>June</v>
      </c>
      <c r="L113" s="7" t="str">
        <f t="shared" si="7"/>
        <v>Q2</v>
      </c>
      <c r="M113" s="7" t="s">
        <v>309</v>
      </c>
      <c r="N113" s="7" t="s">
        <v>305</v>
      </c>
      <c r="O113" s="7" t="s">
        <v>305</v>
      </c>
    </row>
    <row r="114" spans="1:15" x14ac:dyDescent="0.35">
      <c r="A114" s="7">
        <v>114</v>
      </c>
      <c r="B114" s="8">
        <v>44981</v>
      </c>
      <c r="C114" s="7" t="s">
        <v>46</v>
      </c>
      <c r="D114" s="7" t="s">
        <v>59</v>
      </c>
      <c r="E114" s="7" t="s">
        <v>65</v>
      </c>
      <c r="F114" s="7" t="s">
        <v>68</v>
      </c>
      <c r="G114" s="7">
        <v>4</v>
      </c>
      <c r="H114" s="7">
        <v>5000</v>
      </c>
      <c r="I114" s="7">
        <f t="shared" si="4"/>
        <v>20000</v>
      </c>
      <c r="J114" s="7">
        <f t="shared" si="5"/>
        <v>2023</v>
      </c>
      <c r="K114" s="7" t="str">
        <f t="shared" si="6"/>
        <v>February</v>
      </c>
      <c r="L114" s="7" t="str">
        <f t="shared" si="7"/>
        <v>Q1</v>
      </c>
      <c r="M114" s="7" t="s">
        <v>305</v>
      </c>
      <c r="N114" s="7" t="s">
        <v>305</v>
      </c>
      <c r="O114" s="7" t="s">
        <v>305</v>
      </c>
    </row>
    <row r="115" spans="1:15" x14ac:dyDescent="0.35">
      <c r="A115" s="7">
        <v>115</v>
      </c>
      <c r="B115" s="8">
        <v>45091</v>
      </c>
      <c r="C115" s="7" t="s">
        <v>22</v>
      </c>
      <c r="D115" s="7" t="s">
        <v>59</v>
      </c>
      <c r="E115" s="7" t="s">
        <v>75</v>
      </c>
      <c r="F115" s="7" t="s">
        <v>76</v>
      </c>
      <c r="G115" s="7">
        <v>5</v>
      </c>
      <c r="H115" s="7">
        <v>10000</v>
      </c>
      <c r="I115" s="7">
        <f t="shared" si="4"/>
        <v>50000</v>
      </c>
      <c r="J115" s="7">
        <f t="shared" si="5"/>
        <v>2023</v>
      </c>
      <c r="K115" s="7" t="str">
        <f t="shared" si="6"/>
        <v>June</v>
      </c>
      <c r="L115" s="7" t="str">
        <f t="shared" si="7"/>
        <v>Q2</v>
      </c>
      <c r="M115" s="7" t="s">
        <v>299</v>
      </c>
      <c r="N115" s="7" t="s">
        <v>305</v>
      </c>
      <c r="O115" s="7" t="s">
        <v>306</v>
      </c>
    </row>
    <row r="116" spans="1:15" x14ac:dyDescent="0.35">
      <c r="A116" s="7">
        <v>116</v>
      </c>
      <c r="B116" s="8">
        <v>44946</v>
      </c>
      <c r="C116" s="7" t="s">
        <v>44</v>
      </c>
      <c r="D116" s="7" t="s">
        <v>72</v>
      </c>
      <c r="E116" s="7" t="s">
        <v>64</v>
      </c>
      <c r="F116" s="7" t="s">
        <v>67</v>
      </c>
      <c r="G116" s="7">
        <v>3</v>
      </c>
      <c r="H116" s="7">
        <v>20000</v>
      </c>
      <c r="I116" s="7">
        <f t="shared" si="4"/>
        <v>60000</v>
      </c>
      <c r="J116" s="7">
        <f t="shared" si="5"/>
        <v>2023</v>
      </c>
      <c r="K116" s="7" t="str">
        <f t="shared" si="6"/>
        <v>January</v>
      </c>
      <c r="L116" s="7" t="str">
        <f t="shared" si="7"/>
        <v>Q1</v>
      </c>
      <c r="M116" s="7" t="s">
        <v>308</v>
      </c>
      <c r="N116" s="7" t="s">
        <v>306</v>
      </c>
      <c r="O116" s="7" t="s">
        <v>305</v>
      </c>
    </row>
    <row r="117" spans="1:15" x14ac:dyDescent="0.35">
      <c r="A117" s="7">
        <v>117</v>
      </c>
      <c r="B117" s="8">
        <v>45262</v>
      </c>
      <c r="C117" s="7" t="s">
        <v>73</v>
      </c>
      <c r="D117" s="7" t="s">
        <v>72</v>
      </c>
      <c r="E117" s="7" t="s">
        <v>66</v>
      </c>
      <c r="F117" s="7" t="s">
        <v>67</v>
      </c>
      <c r="G117" s="7">
        <v>2</v>
      </c>
      <c r="H117" s="7">
        <v>5000</v>
      </c>
      <c r="I117" s="7">
        <f t="shared" si="4"/>
        <v>10000</v>
      </c>
      <c r="J117" s="7">
        <f t="shared" si="5"/>
        <v>2023</v>
      </c>
      <c r="K117" s="7" t="str">
        <f t="shared" si="6"/>
        <v>December</v>
      </c>
      <c r="L117" s="7" t="str">
        <f t="shared" si="7"/>
        <v>Q4</v>
      </c>
      <c r="M117" s="7" t="s">
        <v>305</v>
      </c>
      <c r="N117" s="7" t="s">
        <v>305</v>
      </c>
      <c r="O117" s="7" t="s">
        <v>305</v>
      </c>
    </row>
    <row r="118" spans="1:15" x14ac:dyDescent="0.35">
      <c r="A118" s="7">
        <v>118</v>
      </c>
      <c r="B118" s="8">
        <v>45248</v>
      </c>
      <c r="C118" s="7" t="s">
        <v>21</v>
      </c>
      <c r="D118" s="7" t="s">
        <v>72</v>
      </c>
      <c r="E118" s="7" t="s">
        <v>66</v>
      </c>
      <c r="F118" s="7" t="s">
        <v>67</v>
      </c>
      <c r="G118" s="7">
        <v>5</v>
      </c>
      <c r="H118" s="7">
        <v>20000</v>
      </c>
      <c r="I118" s="7">
        <f t="shared" si="4"/>
        <v>100000</v>
      </c>
      <c r="J118" s="7">
        <f t="shared" si="5"/>
        <v>2023</v>
      </c>
      <c r="K118" s="7" t="str">
        <f t="shared" si="6"/>
        <v>November</v>
      </c>
      <c r="L118" s="7" t="str">
        <f t="shared" si="7"/>
        <v>Q4</v>
      </c>
      <c r="M118" s="7" t="s">
        <v>305</v>
      </c>
      <c r="N118" s="7" t="s">
        <v>305</v>
      </c>
      <c r="O118" s="7" t="s">
        <v>305</v>
      </c>
    </row>
    <row r="119" spans="1:15" x14ac:dyDescent="0.35">
      <c r="A119" s="7">
        <v>119</v>
      </c>
      <c r="B119" s="8">
        <v>44981</v>
      </c>
      <c r="C119" s="7" t="s">
        <v>41</v>
      </c>
      <c r="D119" s="7" t="s">
        <v>59</v>
      </c>
      <c r="E119" s="7" t="s">
        <v>64</v>
      </c>
      <c r="F119" s="7" t="s">
        <v>67</v>
      </c>
      <c r="G119" s="7">
        <v>3</v>
      </c>
      <c r="H119" s="7">
        <v>30000</v>
      </c>
      <c r="I119" s="7">
        <f t="shared" si="4"/>
        <v>90000</v>
      </c>
      <c r="J119" s="7">
        <f t="shared" si="5"/>
        <v>2023</v>
      </c>
      <c r="K119" s="7" t="str">
        <f t="shared" si="6"/>
        <v>February</v>
      </c>
      <c r="L119" s="7" t="str">
        <f t="shared" si="7"/>
        <v>Q1</v>
      </c>
      <c r="M119" s="7" t="s">
        <v>305</v>
      </c>
      <c r="N119" s="7" t="s">
        <v>305</v>
      </c>
      <c r="O119" s="7" t="s">
        <v>305</v>
      </c>
    </row>
    <row r="120" spans="1:15" x14ac:dyDescent="0.35">
      <c r="A120" s="7">
        <v>120</v>
      </c>
      <c r="B120" s="8">
        <v>45124</v>
      </c>
      <c r="C120" s="7" t="s">
        <v>39</v>
      </c>
      <c r="D120" s="7" t="s">
        <v>72</v>
      </c>
      <c r="E120" s="7" t="s">
        <v>62</v>
      </c>
      <c r="F120" s="7" t="s">
        <v>67</v>
      </c>
      <c r="G120" s="7">
        <v>2</v>
      </c>
      <c r="H120" s="7">
        <v>30000</v>
      </c>
      <c r="I120" s="7">
        <f t="shared" si="4"/>
        <v>60000</v>
      </c>
      <c r="J120" s="7">
        <f t="shared" si="5"/>
        <v>2023</v>
      </c>
      <c r="K120" s="7" t="str">
        <f t="shared" si="6"/>
        <v>July</v>
      </c>
      <c r="L120" s="7" t="str">
        <f t="shared" si="7"/>
        <v>Q3</v>
      </c>
      <c r="M120" s="7" t="s">
        <v>305</v>
      </c>
      <c r="N120" s="7" t="s">
        <v>305</v>
      </c>
      <c r="O120" s="7" t="s">
        <v>305</v>
      </c>
    </row>
    <row r="121" spans="1:15" x14ac:dyDescent="0.35">
      <c r="A121" s="7">
        <v>121</v>
      </c>
      <c r="B121" s="8">
        <v>45069</v>
      </c>
      <c r="C121" s="7" t="s">
        <v>51</v>
      </c>
      <c r="D121" s="7" t="s">
        <v>61</v>
      </c>
      <c r="E121" s="7" t="s">
        <v>63</v>
      </c>
      <c r="F121" s="7" t="s">
        <v>67</v>
      </c>
      <c r="G121" s="7">
        <v>3</v>
      </c>
      <c r="H121" s="7">
        <v>20000</v>
      </c>
      <c r="I121" s="7">
        <f t="shared" si="4"/>
        <v>60000</v>
      </c>
      <c r="J121" s="7">
        <f t="shared" si="5"/>
        <v>2023</v>
      </c>
      <c r="K121" s="7" t="str">
        <f t="shared" si="6"/>
        <v>May</v>
      </c>
      <c r="L121" s="7" t="str">
        <f t="shared" si="7"/>
        <v>Q2</v>
      </c>
      <c r="M121" s="7" t="s">
        <v>305</v>
      </c>
      <c r="N121" s="7" t="s">
        <v>305</v>
      </c>
      <c r="O121" s="7" t="s">
        <v>305</v>
      </c>
    </row>
    <row r="122" spans="1:15" x14ac:dyDescent="0.35">
      <c r="A122" s="7">
        <v>122</v>
      </c>
      <c r="B122" s="8">
        <v>45073</v>
      </c>
      <c r="C122" s="7" t="s">
        <v>45</v>
      </c>
      <c r="D122" s="7" t="s">
        <v>59</v>
      </c>
      <c r="E122" s="7" t="s">
        <v>75</v>
      </c>
      <c r="F122" s="7" t="s">
        <v>76</v>
      </c>
      <c r="G122" s="7">
        <v>2</v>
      </c>
      <c r="H122" s="7">
        <v>1000</v>
      </c>
      <c r="I122" s="7">
        <f t="shared" si="4"/>
        <v>2000</v>
      </c>
      <c r="J122" s="7">
        <f t="shared" si="5"/>
        <v>2023</v>
      </c>
      <c r="K122" s="7" t="str">
        <f t="shared" si="6"/>
        <v>May</v>
      </c>
      <c r="L122" s="7" t="str">
        <f t="shared" si="7"/>
        <v>Q2</v>
      </c>
      <c r="M122" s="7" t="s">
        <v>299</v>
      </c>
      <c r="N122" s="7" t="s">
        <v>305</v>
      </c>
      <c r="O122" s="7" t="s">
        <v>305</v>
      </c>
    </row>
    <row r="123" spans="1:15" x14ac:dyDescent="0.35">
      <c r="A123" s="7">
        <v>123</v>
      </c>
      <c r="B123" s="8">
        <v>45082</v>
      </c>
      <c r="C123" s="7" t="s">
        <v>56</v>
      </c>
      <c r="D123" s="7" t="s">
        <v>72</v>
      </c>
      <c r="E123" s="7" t="s">
        <v>64</v>
      </c>
      <c r="F123" s="7" t="s">
        <v>67</v>
      </c>
      <c r="G123" s="7">
        <v>3</v>
      </c>
      <c r="H123" s="7">
        <v>20000</v>
      </c>
      <c r="I123" s="7">
        <f t="shared" si="4"/>
        <v>60000</v>
      </c>
      <c r="J123" s="7">
        <f t="shared" si="5"/>
        <v>2023</v>
      </c>
      <c r="K123" s="7" t="str">
        <f t="shared" si="6"/>
        <v>June</v>
      </c>
      <c r="L123" s="7" t="str">
        <f t="shared" si="7"/>
        <v>Q2</v>
      </c>
      <c r="M123" s="7" t="s">
        <v>305</v>
      </c>
      <c r="N123" s="7" t="s">
        <v>305</v>
      </c>
      <c r="O123" s="7" t="s">
        <v>305</v>
      </c>
    </row>
    <row r="124" spans="1:15" x14ac:dyDescent="0.35">
      <c r="A124" s="7">
        <v>124</v>
      </c>
      <c r="B124" s="8">
        <v>45117</v>
      </c>
      <c r="C124" s="7" t="s">
        <v>32</v>
      </c>
      <c r="D124" s="7" t="s">
        <v>72</v>
      </c>
      <c r="E124" s="7" t="s">
        <v>75</v>
      </c>
      <c r="F124" s="7" t="s">
        <v>67</v>
      </c>
      <c r="G124" s="7">
        <v>3</v>
      </c>
      <c r="H124" s="7">
        <v>1000</v>
      </c>
      <c r="I124" s="7">
        <f t="shared" si="4"/>
        <v>3000</v>
      </c>
      <c r="J124" s="7">
        <f t="shared" si="5"/>
        <v>2023</v>
      </c>
      <c r="K124" s="7" t="str">
        <f t="shared" si="6"/>
        <v>July</v>
      </c>
      <c r="L124" s="7" t="str">
        <f t="shared" si="7"/>
        <v>Q3</v>
      </c>
      <c r="M124" s="7" t="s">
        <v>298</v>
      </c>
      <c r="N124" s="7" t="s">
        <v>306</v>
      </c>
      <c r="O124" s="7" t="s">
        <v>305</v>
      </c>
    </row>
    <row r="125" spans="1:15" x14ac:dyDescent="0.35">
      <c r="A125" s="7">
        <v>125</v>
      </c>
      <c r="B125" s="8">
        <v>45096</v>
      </c>
      <c r="C125" s="7" t="s">
        <v>17</v>
      </c>
      <c r="D125" s="7" t="s">
        <v>59</v>
      </c>
      <c r="E125" s="7" t="s">
        <v>62</v>
      </c>
      <c r="F125" s="7" t="s">
        <v>67</v>
      </c>
      <c r="G125" s="7">
        <v>5</v>
      </c>
      <c r="H125" s="7">
        <v>5000</v>
      </c>
      <c r="I125" s="7">
        <f t="shared" si="4"/>
        <v>25000</v>
      </c>
      <c r="J125" s="7">
        <f t="shared" si="5"/>
        <v>2023</v>
      </c>
      <c r="K125" s="7" t="str">
        <f t="shared" si="6"/>
        <v>June</v>
      </c>
      <c r="L125" s="7" t="str">
        <f t="shared" si="7"/>
        <v>Q2</v>
      </c>
      <c r="M125" s="7" t="s">
        <v>300</v>
      </c>
      <c r="N125" s="7" t="s">
        <v>305</v>
      </c>
      <c r="O125" s="7" t="s">
        <v>305</v>
      </c>
    </row>
    <row r="126" spans="1:15" x14ac:dyDescent="0.35">
      <c r="A126" s="7">
        <v>126</v>
      </c>
      <c r="B126" s="8">
        <v>45099</v>
      </c>
      <c r="C126" s="7" t="s">
        <v>32</v>
      </c>
      <c r="D126" s="7" t="s">
        <v>72</v>
      </c>
      <c r="E126" s="7" t="s">
        <v>62</v>
      </c>
      <c r="F126" s="7" t="s">
        <v>67</v>
      </c>
      <c r="G126" s="7">
        <v>2</v>
      </c>
      <c r="H126" s="9">
        <v>10000</v>
      </c>
      <c r="I126" s="7">
        <f t="shared" si="4"/>
        <v>20000</v>
      </c>
      <c r="J126" s="7">
        <f t="shared" si="5"/>
        <v>2023</v>
      </c>
      <c r="K126" s="7" t="str">
        <f t="shared" si="6"/>
        <v>June</v>
      </c>
      <c r="L126" s="7" t="str">
        <f t="shared" si="7"/>
        <v>Q2</v>
      </c>
      <c r="M126" s="7" t="s">
        <v>305</v>
      </c>
      <c r="N126" s="7" t="s">
        <v>305</v>
      </c>
      <c r="O126" s="7" t="s">
        <v>305</v>
      </c>
    </row>
    <row r="127" spans="1:15" x14ac:dyDescent="0.35">
      <c r="A127" s="7">
        <v>127</v>
      </c>
      <c r="B127" s="8">
        <v>45133</v>
      </c>
      <c r="C127" s="7" t="s">
        <v>52</v>
      </c>
      <c r="D127" s="7" t="s">
        <v>60</v>
      </c>
      <c r="E127" s="7" t="s">
        <v>64</v>
      </c>
      <c r="F127" s="7" t="s">
        <v>67</v>
      </c>
      <c r="G127" s="7">
        <v>2</v>
      </c>
      <c r="H127" s="7">
        <v>5000</v>
      </c>
      <c r="I127" s="7">
        <f t="shared" si="4"/>
        <v>10000</v>
      </c>
      <c r="J127" s="7">
        <f t="shared" si="5"/>
        <v>2023</v>
      </c>
      <c r="K127" s="7" t="str">
        <f t="shared" si="6"/>
        <v>July</v>
      </c>
      <c r="L127" s="7" t="str">
        <f t="shared" si="7"/>
        <v>Q3</v>
      </c>
      <c r="M127" s="7" t="s">
        <v>305</v>
      </c>
      <c r="N127" s="7" t="s">
        <v>305</v>
      </c>
      <c r="O127" s="7" t="s">
        <v>305</v>
      </c>
    </row>
    <row r="128" spans="1:15" x14ac:dyDescent="0.35">
      <c r="A128" s="7">
        <v>128</v>
      </c>
      <c r="B128" s="8">
        <v>44987</v>
      </c>
      <c r="C128" s="7" t="s">
        <v>42</v>
      </c>
      <c r="D128" s="7" t="s">
        <v>59</v>
      </c>
      <c r="E128" s="7" t="s">
        <v>65</v>
      </c>
      <c r="F128" s="7" t="s">
        <v>67</v>
      </c>
      <c r="G128" s="7">
        <v>4</v>
      </c>
      <c r="H128" s="7">
        <v>20000</v>
      </c>
      <c r="I128" s="7">
        <f t="shared" si="4"/>
        <v>80000</v>
      </c>
      <c r="J128" s="7">
        <f t="shared" si="5"/>
        <v>2023</v>
      </c>
      <c r="K128" s="7" t="str">
        <f t="shared" si="6"/>
        <v>March</v>
      </c>
      <c r="L128" s="7" t="str">
        <f t="shared" si="7"/>
        <v>Q1</v>
      </c>
      <c r="M128" s="7" t="s">
        <v>305</v>
      </c>
      <c r="N128" s="7" t="s">
        <v>305</v>
      </c>
      <c r="O128" s="7" t="s">
        <v>305</v>
      </c>
    </row>
    <row r="129" spans="1:15" x14ac:dyDescent="0.35">
      <c r="A129" s="7">
        <v>129</v>
      </c>
      <c r="B129" s="8">
        <v>44954</v>
      </c>
      <c r="C129" s="7" t="s">
        <v>20</v>
      </c>
      <c r="D129" s="7" t="s">
        <v>61</v>
      </c>
      <c r="E129" s="7" t="s">
        <v>64</v>
      </c>
      <c r="F129" s="7" t="s">
        <v>67</v>
      </c>
      <c r="G129" s="7">
        <v>2</v>
      </c>
      <c r="H129" s="7">
        <v>10000</v>
      </c>
      <c r="I129" s="7">
        <f t="shared" si="4"/>
        <v>20000</v>
      </c>
      <c r="J129" s="7">
        <f t="shared" si="5"/>
        <v>2023</v>
      </c>
      <c r="K129" s="7" t="str">
        <f t="shared" si="6"/>
        <v>January</v>
      </c>
      <c r="L129" s="7" t="str">
        <f t="shared" si="7"/>
        <v>Q1</v>
      </c>
      <c r="M129" s="7" t="s">
        <v>305</v>
      </c>
      <c r="N129" s="7" t="s">
        <v>305</v>
      </c>
      <c r="O129" s="7" t="s">
        <v>306</v>
      </c>
    </row>
    <row r="130" spans="1:15" x14ac:dyDescent="0.35">
      <c r="A130" s="7">
        <v>130</v>
      </c>
      <c r="B130" s="8">
        <v>45096</v>
      </c>
      <c r="C130" s="7" t="s">
        <v>22</v>
      </c>
      <c r="D130" s="7" t="s">
        <v>59</v>
      </c>
      <c r="E130" s="7" t="s">
        <v>66</v>
      </c>
      <c r="F130" s="7" t="s">
        <v>67</v>
      </c>
      <c r="G130" s="7">
        <v>2</v>
      </c>
      <c r="H130" s="7">
        <v>10000</v>
      </c>
      <c r="I130" s="7">
        <f t="shared" si="4"/>
        <v>20000</v>
      </c>
      <c r="J130" s="7">
        <f t="shared" si="5"/>
        <v>2023</v>
      </c>
      <c r="K130" s="7" t="str">
        <f t="shared" si="6"/>
        <v>June</v>
      </c>
      <c r="L130" s="7" t="str">
        <f t="shared" si="7"/>
        <v>Q2</v>
      </c>
      <c r="M130" s="7" t="s">
        <v>305</v>
      </c>
      <c r="N130" s="7" t="s">
        <v>305</v>
      </c>
      <c r="O130" s="7" t="s">
        <v>306</v>
      </c>
    </row>
    <row r="131" spans="1:15" x14ac:dyDescent="0.35">
      <c r="A131" s="7">
        <v>131</v>
      </c>
      <c r="B131" s="8">
        <v>45190</v>
      </c>
      <c r="C131" s="7" t="s">
        <v>43</v>
      </c>
      <c r="D131" s="7" t="s">
        <v>72</v>
      </c>
      <c r="E131" s="7" t="s">
        <v>75</v>
      </c>
      <c r="F131" s="7" t="s">
        <v>67</v>
      </c>
      <c r="G131" s="7">
        <v>5</v>
      </c>
      <c r="H131" s="7">
        <v>10000</v>
      </c>
      <c r="I131" s="7">
        <f t="shared" ref="I131:I194" si="8">G131*H131</f>
        <v>50000</v>
      </c>
      <c r="J131" s="7">
        <f t="shared" ref="J131:J194" si="9">IF(B131="","Unknown",YEAR(B131))</f>
        <v>2023</v>
      </c>
      <c r="K131" s="7" t="str">
        <f t="shared" ref="K131:K194" si="10">IF(B131="","Unknown",TEXT(B131,"mmmm"))</f>
        <v>September</v>
      </c>
      <c r="L131" s="7" t="str">
        <f t="shared" ref="L131:L194" si="11">IF(B131="","Unknown","Q"&amp;ROUNDUP(MONTH(B131)/3,0))</f>
        <v>Q3</v>
      </c>
      <c r="M131" s="7" t="s">
        <v>298</v>
      </c>
      <c r="N131" s="7" t="s">
        <v>305</v>
      </c>
      <c r="O131" s="7" t="s">
        <v>306</v>
      </c>
    </row>
    <row r="132" spans="1:15" x14ac:dyDescent="0.35">
      <c r="A132" s="7">
        <v>132</v>
      </c>
      <c r="B132" s="8">
        <v>45096</v>
      </c>
      <c r="C132" s="7" t="s">
        <v>47</v>
      </c>
      <c r="D132" s="7" t="s">
        <v>59</v>
      </c>
      <c r="E132" s="7" t="s">
        <v>75</v>
      </c>
      <c r="F132" s="7" t="s">
        <v>68</v>
      </c>
      <c r="G132" s="7">
        <v>1</v>
      </c>
      <c r="H132" s="7">
        <v>30000</v>
      </c>
      <c r="I132" s="7">
        <f t="shared" si="8"/>
        <v>30000</v>
      </c>
      <c r="J132" s="7">
        <f t="shared" si="9"/>
        <v>2023</v>
      </c>
      <c r="K132" s="7" t="str">
        <f t="shared" si="10"/>
        <v>June</v>
      </c>
      <c r="L132" s="7" t="str">
        <f t="shared" si="11"/>
        <v>Q2</v>
      </c>
      <c r="M132" s="7" t="s">
        <v>301</v>
      </c>
      <c r="N132" s="7" t="s">
        <v>305</v>
      </c>
      <c r="O132" s="7" t="s">
        <v>305</v>
      </c>
    </row>
    <row r="133" spans="1:15" x14ac:dyDescent="0.35">
      <c r="A133" s="7">
        <v>133</v>
      </c>
      <c r="B133" s="8">
        <v>45124</v>
      </c>
      <c r="C133" s="7" t="s">
        <v>15</v>
      </c>
      <c r="D133" s="7" t="s">
        <v>59</v>
      </c>
      <c r="E133" s="7" t="s">
        <v>75</v>
      </c>
      <c r="F133" s="7" t="s">
        <v>67</v>
      </c>
      <c r="G133" s="7">
        <v>3</v>
      </c>
      <c r="H133" s="7">
        <v>10000</v>
      </c>
      <c r="I133" s="7">
        <f t="shared" si="8"/>
        <v>30000</v>
      </c>
      <c r="J133" s="7">
        <f t="shared" si="9"/>
        <v>2023</v>
      </c>
      <c r="K133" s="7" t="str">
        <f t="shared" si="10"/>
        <v>July</v>
      </c>
      <c r="L133" s="7" t="str">
        <f t="shared" si="11"/>
        <v>Q3</v>
      </c>
      <c r="M133" s="7" t="s">
        <v>298</v>
      </c>
      <c r="N133" s="7" t="s">
        <v>306</v>
      </c>
      <c r="O133" s="7" t="s">
        <v>306</v>
      </c>
    </row>
    <row r="134" spans="1:15" x14ac:dyDescent="0.35">
      <c r="A134" s="7">
        <v>134</v>
      </c>
      <c r="B134" s="8">
        <v>45096</v>
      </c>
      <c r="C134" s="7" t="s">
        <v>30</v>
      </c>
      <c r="D134" s="7" t="s">
        <v>59</v>
      </c>
      <c r="E134" s="7" t="s">
        <v>62</v>
      </c>
      <c r="F134" s="7" t="s">
        <v>68</v>
      </c>
      <c r="G134" s="7">
        <v>3</v>
      </c>
      <c r="H134" s="7">
        <v>1000</v>
      </c>
      <c r="I134" s="7">
        <f t="shared" si="8"/>
        <v>3000</v>
      </c>
      <c r="J134" s="7">
        <f t="shared" si="9"/>
        <v>2023</v>
      </c>
      <c r="K134" s="7" t="str">
        <f t="shared" si="10"/>
        <v>June</v>
      </c>
      <c r="L134" s="7" t="str">
        <f t="shared" si="11"/>
        <v>Q2</v>
      </c>
      <c r="M134" s="7" t="s">
        <v>309</v>
      </c>
      <c r="N134" s="7" t="s">
        <v>306</v>
      </c>
      <c r="O134" s="7" t="s">
        <v>305</v>
      </c>
    </row>
    <row r="135" spans="1:15" x14ac:dyDescent="0.35">
      <c r="A135" s="7">
        <v>135</v>
      </c>
      <c r="B135" s="8">
        <v>45069</v>
      </c>
      <c r="C135" s="7" t="s">
        <v>28</v>
      </c>
      <c r="D135" s="7" t="s">
        <v>61</v>
      </c>
      <c r="E135" s="7" t="s">
        <v>66</v>
      </c>
      <c r="F135" s="7" t="s">
        <v>67</v>
      </c>
      <c r="G135" s="7">
        <v>3</v>
      </c>
      <c r="H135" s="7">
        <v>1000</v>
      </c>
      <c r="I135" s="7">
        <f t="shared" si="8"/>
        <v>3000</v>
      </c>
      <c r="J135" s="7">
        <f t="shared" si="9"/>
        <v>2023</v>
      </c>
      <c r="K135" s="7" t="str">
        <f t="shared" si="10"/>
        <v>May</v>
      </c>
      <c r="L135" s="7" t="str">
        <f t="shared" si="11"/>
        <v>Q2</v>
      </c>
      <c r="M135" s="7" t="s">
        <v>305</v>
      </c>
      <c r="N135" s="7" t="s">
        <v>306</v>
      </c>
      <c r="O135" s="7" t="s">
        <v>305</v>
      </c>
    </row>
    <row r="136" spans="1:15" x14ac:dyDescent="0.35">
      <c r="A136" s="7">
        <v>136</v>
      </c>
      <c r="B136" s="8">
        <v>45096</v>
      </c>
      <c r="C136" s="7" t="s">
        <v>17</v>
      </c>
      <c r="D136" s="7" t="s">
        <v>72</v>
      </c>
      <c r="E136" s="7" t="s">
        <v>65</v>
      </c>
      <c r="F136" s="7" t="s">
        <v>68</v>
      </c>
      <c r="G136" s="7">
        <v>5</v>
      </c>
      <c r="H136" s="7">
        <v>30000</v>
      </c>
      <c r="I136" s="7">
        <f t="shared" si="8"/>
        <v>150000</v>
      </c>
      <c r="J136" s="7">
        <f t="shared" si="9"/>
        <v>2023</v>
      </c>
      <c r="K136" s="7" t="str">
        <f t="shared" si="10"/>
        <v>June</v>
      </c>
      <c r="L136" s="7" t="str">
        <f t="shared" si="11"/>
        <v>Q2</v>
      </c>
      <c r="M136" s="7" t="s">
        <v>300</v>
      </c>
      <c r="N136" s="7" t="s">
        <v>305</v>
      </c>
      <c r="O136" s="7" t="s">
        <v>305</v>
      </c>
    </row>
    <row r="137" spans="1:15" x14ac:dyDescent="0.35">
      <c r="A137" s="7">
        <v>137</v>
      </c>
      <c r="B137" s="8">
        <v>45051</v>
      </c>
      <c r="C137" s="7" t="s">
        <v>55</v>
      </c>
      <c r="D137" s="7" t="s">
        <v>59</v>
      </c>
      <c r="E137" s="7" t="s">
        <v>64</v>
      </c>
      <c r="F137" s="7" t="s">
        <v>67</v>
      </c>
      <c r="G137" s="7">
        <v>3</v>
      </c>
      <c r="H137" s="7">
        <v>10000</v>
      </c>
      <c r="I137" s="7">
        <f t="shared" si="8"/>
        <v>30000</v>
      </c>
      <c r="J137" s="7">
        <f t="shared" si="9"/>
        <v>2023</v>
      </c>
      <c r="K137" s="7" t="str">
        <f t="shared" si="10"/>
        <v>May</v>
      </c>
      <c r="L137" s="7" t="str">
        <f t="shared" si="11"/>
        <v>Q2</v>
      </c>
      <c r="M137" s="7" t="s">
        <v>308</v>
      </c>
      <c r="N137" s="7" t="s">
        <v>306</v>
      </c>
      <c r="O137" s="7" t="s">
        <v>306</v>
      </c>
    </row>
    <row r="138" spans="1:15" x14ac:dyDescent="0.35">
      <c r="A138" s="7">
        <v>138</v>
      </c>
      <c r="B138" s="8">
        <v>45096</v>
      </c>
      <c r="C138" s="7" t="s">
        <v>19</v>
      </c>
      <c r="D138" s="7" t="s">
        <v>72</v>
      </c>
      <c r="E138" s="7" t="s">
        <v>62</v>
      </c>
      <c r="F138" s="7" t="s">
        <v>68</v>
      </c>
      <c r="G138" s="7">
        <v>3</v>
      </c>
      <c r="H138" s="7">
        <v>1000</v>
      </c>
      <c r="I138" s="7">
        <f t="shared" si="8"/>
        <v>3000</v>
      </c>
      <c r="J138" s="7">
        <f t="shared" si="9"/>
        <v>2023</v>
      </c>
      <c r="K138" s="7" t="str">
        <f t="shared" si="10"/>
        <v>June</v>
      </c>
      <c r="L138" s="7" t="str">
        <f t="shared" si="11"/>
        <v>Q2</v>
      </c>
      <c r="M138" s="7" t="s">
        <v>309</v>
      </c>
      <c r="N138" s="7" t="s">
        <v>305</v>
      </c>
      <c r="O138" s="7" t="s">
        <v>305</v>
      </c>
    </row>
    <row r="139" spans="1:15" x14ac:dyDescent="0.35">
      <c r="A139" s="7">
        <v>139</v>
      </c>
      <c r="B139" s="8">
        <v>45018</v>
      </c>
      <c r="C139" s="7" t="s">
        <v>57</v>
      </c>
      <c r="D139" s="7" t="s">
        <v>72</v>
      </c>
      <c r="E139" s="7" t="s">
        <v>62</v>
      </c>
      <c r="F139" s="7" t="s">
        <v>68</v>
      </c>
      <c r="G139" s="7">
        <v>4</v>
      </c>
      <c r="H139" s="7">
        <v>20000</v>
      </c>
      <c r="I139" s="7">
        <f t="shared" si="8"/>
        <v>80000</v>
      </c>
      <c r="J139" s="7">
        <f t="shared" si="9"/>
        <v>2023</v>
      </c>
      <c r="K139" s="7" t="str">
        <f t="shared" si="10"/>
        <v>April</v>
      </c>
      <c r="L139" s="7" t="str">
        <f t="shared" si="11"/>
        <v>Q2</v>
      </c>
      <c r="M139" s="7" t="s">
        <v>308</v>
      </c>
      <c r="N139" s="7" t="s">
        <v>305</v>
      </c>
      <c r="O139" s="7" t="s">
        <v>305</v>
      </c>
    </row>
    <row r="140" spans="1:15" x14ac:dyDescent="0.35">
      <c r="A140" s="7">
        <v>140</v>
      </c>
      <c r="B140" s="8">
        <v>45073</v>
      </c>
      <c r="C140" s="7" t="s">
        <v>27</v>
      </c>
      <c r="D140" s="7" t="s">
        <v>72</v>
      </c>
      <c r="E140" s="7" t="s">
        <v>62</v>
      </c>
      <c r="F140" s="7" t="s">
        <v>68</v>
      </c>
      <c r="G140" s="7">
        <v>2</v>
      </c>
      <c r="H140" s="7">
        <v>5000</v>
      </c>
      <c r="I140" s="7">
        <f t="shared" si="8"/>
        <v>10000</v>
      </c>
      <c r="J140" s="7">
        <f t="shared" si="9"/>
        <v>2023</v>
      </c>
      <c r="K140" s="7" t="str">
        <f t="shared" si="10"/>
        <v>May</v>
      </c>
      <c r="L140" s="7" t="str">
        <f t="shared" si="11"/>
        <v>Q2</v>
      </c>
      <c r="M140" s="7" t="s">
        <v>308</v>
      </c>
      <c r="N140" s="7" t="s">
        <v>305</v>
      </c>
      <c r="O140" s="7" t="s">
        <v>305</v>
      </c>
    </row>
    <row r="141" spans="1:15" x14ac:dyDescent="0.35">
      <c r="A141" s="7">
        <v>141</v>
      </c>
      <c r="B141" s="8">
        <v>44927</v>
      </c>
      <c r="C141" s="7" t="s">
        <v>54</v>
      </c>
      <c r="D141" s="7" t="s">
        <v>72</v>
      </c>
      <c r="E141" s="7" t="s">
        <v>66</v>
      </c>
      <c r="F141" s="7" t="s">
        <v>67</v>
      </c>
      <c r="G141" s="7">
        <v>2</v>
      </c>
      <c r="H141" s="7">
        <v>10000</v>
      </c>
      <c r="I141" s="7">
        <f t="shared" si="8"/>
        <v>20000</v>
      </c>
      <c r="J141" s="7">
        <f t="shared" si="9"/>
        <v>2023</v>
      </c>
      <c r="K141" s="7" t="str">
        <f t="shared" si="10"/>
        <v>January</v>
      </c>
      <c r="L141" s="7" t="str">
        <f t="shared" si="11"/>
        <v>Q1</v>
      </c>
      <c r="M141" s="7" t="s">
        <v>305</v>
      </c>
      <c r="N141" s="7" t="s">
        <v>305</v>
      </c>
      <c r="O141" s="7" t="s">
        <v>306</v>
      </c>
    </row>
    <row r="142" spans="1:15" x14ac:dyDescent="0.35">
      <c r="A142" s="7">
        <v>142</v>
      </c>
      <c r="B142" s="8">
        <v>45013</v>
      </c>
      <c r="C142" s="7" t="s">
        <v>54</v>
      </c>
      <c r="D142" s="7" t="s">
        <v>72</v>
      </c>
      <c r="E142" s="7" t="s">
        <v>65</v>
      </c>
      <c r="F142" s="7" t="s">
        <v>67</v>
      </c>
      <c r="G142" s="7">
        <v>1</v>
      </c>
      <c r="H142" s="9">
        <v>10000</v>
      </c>
      <c r="I142" s="7">
        <f t="shared" si="8"/>
        <v>10000</v>
      </c>
      <c r="J142" s="7">
        <f t="shared" si="9"/>
        <v>2023</v>
      </c>
      <c r="K142" s="7" t="str">
        <f t="shared" si="10"/>
        <v>March</v>
      </c>
      <c r="L142" s="7" t="str">
        <f t="shared" si="11"/>
        <v>Q1</v>
      </c>
      <c r="M142" s="7" t="s">
        <v>305</v>
      </c>
      <c r="N142" s="7" t="s">
        <v>305</v>
      </c>
      <c r="O142" s="7" t="s">
        <v>305</v>
      </c>
    </row>
    <row r="143" spans="1:15" x14ac:dyDescent="0.35">
      <c r="A143" s="7">
        <v>143</v>
      </c>
      <c r="B143" s="8">
        <v>45193</v>
      </c>
      <c r="C143" s="7" t="s">
        <v>21</v>
      </c>
      <c r="D143" s="7" t="s">
        <v>59</v>
      </c>
      <c r="E143" s="7" t="s">
        <v>75</v>
      </c>
      <c r="F143" s="7" t="s">
        <v>67</v>
      </c>
      <c r="G143" s="7">
        <v>3</v>
      </c>
      <c r="H143" s="7">
        <v>10000</v>
      </c>
      <c r="I143" s="7">
        <f t="shared" si="8"/>
        <v>30000</v>
      </c>
      <c r="J143" s="7">
        <f t="shared" si="9"/>
        <v>2023</v>
      </c>
      <c r="K143" s="7" t="str">
        <f t="shared" si="10"/>
        <v>September</v>
      </c>
      <c r="L143" s="7" t="str">
        <f t="shared" si="11"/>
        <v>Q3</v>
      </c>
      <c r="M143" s="7" t="s">
        <v>298</v>
      </c>
      <c r="N143" s="7" t="s">
        <v>306</v>
      </c>
      <c r="O143" s="7" t="s">
        <v>306</v>
      </c>
    </row>
    <row r="144" spans="1:15" x14ac:dyDescent="0.35">
      <c r="A144" s="7">
        <v>144</v>
      </c>
      <c r="B144" s="8">
        <v>45267</v>
      </c>
      <c r="C144" s="7" t="s">
        <v>54</v>
      </c>
      <c r="D144" s="7" t="s">
        <v>72</v>
      </c>
      <c r="E144" s="7" t="s">
        <v>63</v>
      </c>
      <c r="F144" s="7" t="s">
        <v>67</v>
      </c>
      <c r="G144" s="7">
        <v>1</v>
      </c>
      <c r="H144" s="7">
        <v>10000</v>
      </c>
      <c r="I144" s="7">
        <f t="shared" si="8"/>
        <v>10000</v>
      </c>
      <c r="J144" s="7">
        <f t="shared" si="9"/>
        <v>2023</v>
      </c>
      <c r="K144" s="7" t="str">
        <f t="shared" si="10"/>
        <v>December</v>
      </c>
      <c r="L144" s="7" t="str">
        <f t="shared" si="11"/>
        <v>Q4</v>
      </c>
      <c r="M144" s="7" t="s">
        <v>308</v>
      </c>
      <c r="N144" s="7" t="s">
        <v>305</v>
      </c>
      <c r="O144" s="7" t="s">
        <v>306</v>
      </c>
    </row>
    <row r="145" spans="1:15" x14ac:dyDescent="0.35">
      <c r="A145" s="7">
        <v>145</v>
      </c>
      <c r="B145" s="8">
        <v>45096</v>
      </c>
      <c r="C145" s="7" t="s">
        <v>43</v>
      </c>
      <c r="D145" s="7" t="s">
        <v>60</v>
      </c>
      <c r="E145" s="7" t="s">
        <v>63</v>
      </c>
      <c r="F145" s="7" t="s">
        <v>67</v>
      </c>
      <c r="G145" s="7">
        <v>4</v>
      </c>
      <c r="H145" s="7">
        <v>10000</v>
      </c>
      <c r="I145" s="7">
        <f t="shared" si="8"/>
        <v>40000</v>
      </c>
      <c r="J145" s="7">
        <f t="shared" si="9"/>
        <v>2023</v>
      </c>
      <c r="K145" s="7" t="str">
        <f t="shared" si="10"/>
        <v>June</v>
      </c>
      <c r="L145" s="7" t="str">
        <f t="shared" si="11"/>
        <v>Q2</v>
      </c>
      <c r="M145" s="7" t="s">
        <v>309</v>
      </c>
      <c r="N145" s="7" t="s">
        <v>305</v>
      </c>
      <c r="O145" s="7" t="s">
        <v>306</v>
      </c>
    </row>
    <row r="146" spans="1:15" x14ac:dyDescent="0.35">
      <c r="A146" s="7">
        <v>146</v>
      </c>
      <c r="B146" s="8">
        <v>44952</v>
      </c>
      <c r="C146" s="7" t="s">
        <v>49</v>
      </c>
      <c r="D146" s="7" t="s">
        <v>72</v>
      </c>
      <c r="E146" s="7" t="s">
        <v>64</v>
      </c>
      <c r="F146" s="7" t="s">
        <v>68</v>
      </c>
      <c r="G146" s="7">
        <v>3</v>
      </c>
      <c r="H146" s="7">
        <v>30000</v>
      </c>
      <c r="I146" s="7">
        <f t="shared" si="8"/>
        <v>90000</v>
      </c>
      <c r="J146" s="7">
        <f t="shared" si="9"/>
        <v>2023</v>
      </c>
      <c r="K146" s="7" t="str">
        <f t="shared" si="10"/>
        <v>January</v>
      </c>
      <c r="L146" s="7" t="str">
        <f t="shared" si="11"/>
        <v>Q1</v>
      </c>
      <c r="M146" s="7" t="s">
        <v>305</v>
      </c>
      <c r="N146" s="7" t="s">
        <v>306</v>
      </c>
      <c r="O146" s="7" t="s">
        <v>305</v>
      </c>
    </row>
    <row r="147" spans="1:15" x14ac:dyDescent="0.35">
      <c r="A147" s="7">
        <v>147</v>
      </c>
      <c r="B147" s="8">
        <v>45265</v>
      </c>
      <c r="C147" s="7" t="s">
        <v>19</v>
      </c>
      <c r="D147" s="7" t="s">
        <v>59</v>
      </c>
      <c r="E147" s="7" t="s">
        <v>66</v>
      </c>
      <c r="F147" s="7" t="s">
        <v>67</v>
      </c>
      <c r="G147" s="7">
        <v>1</v>
      </c>
      <c r="H147" s="7">
        <v>20000</v>
      </c>
      <c r="I147" s="7">
        <f t="shared" si="8"/>
        <v>20000</v>
      </c>
      <c r="J147" s="7">
        <f t="shared" si="9"/>
        <v>2023</v>
      </c>
      <c r="K147" s="7" t="str">
        <f t="shared" si="10"/>
        <v>December</v>
      </c>
      <c r="L147" s="7" t="str">
        <f t="shared" si="11"/>
        <v>Q4</v>
      </c>
      <c r="M147" s="7" t="s">
        <v>305</v>
      </c>
      <c r="N147" s="7" t="s">
        <v>305</v>
      </c>
      <c r="O147" s="7" t="s">
        <v>305</v>
      </c>
    </row>
    <row r="148" spans="1:15" x14ac:dyDescent="0.35">
      <c r="A148" s="7">
        <v>148</v>
      </c>
      <c r="B148" s="8">
        <v>45045</v>
      </c>
      <c r="C148" s="7" t="s">
        <v>33</v>
      </c>
      <c r="D148" s="7" t="s">
        <v>59</v>
      </c>
      <c r="E148" s="7" t="s">
        <v>64</v>
      </c>
      <c r="F148" s="7" t="s">
        <v>67</v>
      </c>
      <c r="G148" s="7">
        <v>3</v>
      </c>
      <c r="H148" s="7">
        <v>30000</v>
      </c>
      <c r="I148" s="7">
        <f t="shared" si="8"/>
        <v>90000</v>
      </c>
      <c r="J148" s="7">
        <f t="shared" si="9"/>
        <v>2023</v>
      </c>
      <c r="K148" s="7" t="str">
        <f t="shared" si="10"/>
        <v>April</v>
      </c>
      <c r="L148" s="7" t="str">
        <f t="shared" si="11"/>
        <v>Q2</v>
      </c>
      <c r="M148" s="7" t="s">
        <v>308</v>
      </c>
      <c r="N148" s="7" t="s">
        <v>305</v>
      </c>
      <c r="O148" s="7" t="s">
        <v>305</v>
      </c>
    </row>
    <row r="149" spans="1:15" x14ac:dyDescent="0.35">
      <c r="A149" s="7">
        <v>149</v>
      </c>
      <c r="B149" s="8">
        <v>44975</v>
      </c>
      <c r="C149" s="7" t="s">
        <v>73</v>
      </c>
      <c r="D149" s="7" t="s">
        <v>61</v>
      </c>
      <c r="E149" s="7" t="s">
        <v>66</v>
      </c>
      <c r="F149" s="7" t="s">
        <v>67</v>
      </c>
      <c r="G149" s="7">
        <v>2</v>
      </c>
      <c r="H149" s="7">
        <v>30000</v>
      </c>
      <c r="I149" s="7">
        <f t="shared" si="8"/>
        <v>60000</v>
      </c>
      <c r="J149" s="7">
        <f t="shared" si="9"/>
        <v>2023</v>
      </c>
      <c r="K149" s="7" t="str">
        <f t="shared" si="10"/>
        <v>February</v>
      </c>
      <c r="L149" s="7" t="str">
        <f t="shared" si="11"/>
        <v>Q1</v>
      </c>
      <c r="M149" s="7" t="s">
        <v>305</v>
      </c>
      <c r="N149" s="7" t="s">
        <v>305</v>
      </c>
      <c r="O149" s="7" t="s">
        <v>305</v>
      </c>
    </row>
    <row r="150" spans="1:15" x14ac:dyDescent="0.35">
      <c r="A150" s="7">
        <v>150</v>
      </c>
      <c r="B150" s="8">
        <v>44954</v>
      </c>
      <c r="C150" s="7" t="s">
        <v>36</v>
      </c>
      <c r="D150" s="7" t="s">
        <v>61</v>
      </c>
      <c r="E150" s="7" t="s">
        <v>64</v>
      </c>
      <c r="F150" s="7" t="s">
        <v>67</v>
      </c>
      <c r="G150" s="7">
        <v>1</v>
      </c>
      <c r="H150" s="7">
        <v>30000</v>
      </c>
      <c r="I150" s="7">
        <f t="shared" si="8"/>
        <v>30000</v>
      </c>
      <c r="J150" s="7">
        <f t="shared" si="9"/>
        <v>2023</v>
      </c>
      <c r="K150" s="7" t="str">
        <f t="shared" si="10"/>
        <v>January</v>
      </c>
      <c r="L150" s="7" t="str">
        <f t="shared" si="11"/>
        <v>Q1</v>
      </c>
      <c r="M150" s="7" t="s">
        <v>308</v>
      </c>
      <c r="N150" s="7" t="s">
        <v>305</v>
      </c>
      <c r="O150" s="7" t="s">
        <v>305</v>
      </c>
    </row>
    <row r="151" spans="1:15" x14ac:dyDescent="0.35">
      <c r="A151" s="7">
        <v>151</v>
      </c>
      <c r="B151" s="8">
        <v>44960</v>
      </c>
      <c r="C151" s="7" t="s">
        <v>73</v>
      </c>
      <c r="D151" s="7" t="s">
        <v>59</v>
      </c>
      <c r="E151" s="7" t="s">
        <v>65</v>
      </c>
      <c r="F151" s="7" t="s">
        <v>67</v>
      </c>
      <c r="G151" s="7">
        <v>2</v>
      </c>
      <c r="H151" s="7">
        <v>10000</v>
      </c>
      <c r="I151" s="7">
        <f t="shared" si="8"/>
        <v>20000</v>
      </c>
      <c r="J151" s="7">
        <f t="shared" si="9"/>
        <v>2023</v>
      </c>
      <c r="K151" s="7" t="str">
        <f t="shared" si="10"/>
        <v>February</v>
      </c>
      <c r="L151" s="7" t="str">
        <f t="shared" si="11"/>
        <v>Q1</v>
      </c>
      <c r="M151" s="7" t="s">
        <v>305</v>
      </c>
      <c r="N151" s="7" t="s">
        <v>305</v>
      </c>
      <c r="O151" s="7" t="s">
        <v>306</v>
      </c>
    </row>
    <row r="152" spans="1:15" x14ac:dyDescent="0.35">
      <c r="A152" s="7">
        <v>152</v>
      </c>
      <c r="B152" s="8">
        <v>45049</v>
      </c>
      <c r="C152" s="7" t="s">
        <v>35</v>
      </c>
      <c r="D152" s="7" t="s">
        <v>61</v>
      </c>
      <c r="E152" s="7" t="s">
        <v>66</v>
      </c>
      <c r="F152" s="7" t="s">
        <v>68</v>
      </c>
      <c r="G152" s="7">
        <v>4</v>
      </c>
      <c r="H152" s="7">
        <v>5000</v>
      </c>
      <c r="I152" s="7">
        <f t="shared" si="8"/>
        <v>20000</v>
      </c>
      <c r="J152" s="7">
        <f t="shared" si="9"/>
        <v>2023</v>
      </c>
      <c r="K152" s="7" t="str">
        <f t="shared" si="10"/>
        <v>May</v>
      </c>
      <c r="L152" s="7" t="str">
        <f t="shared" si="11"/>
        <v>Q2</v>
      </c>
      <c r="M152" s="7" t="s">
        <v>305</v>
      </c>
      <c r="N152" s="7" t="s">
        <v>305</v>
      </c>
      <c r="O152" s="7" t="s">
        <v>305</v>
      </c>
    </row>
    <row r="153" spans="1:15" x14ac:dyDescent="0.35">
      <c r="A153" s="7">
        <v>153</v>
      </c>
      <c r="B153" s="8">
        <v>45096</v>
      </c>
      <c r="C153" s="7" t="s">
        <v>54</v>
      </c>
      <c r="D153" s="7" t="s">
        <v>72</v>
      </c>
      <c r="E153" s="7" t="s">
        <v>63</v>
      </c>
      <c r="F153" s="7" t="s">
        <v>67</v>
      </c>
      <c r="G153" s="7">
        <v>3</v>
      </c>
      <c r="H153" s="7">
        <v>5000</v>
      </c>
      <c r="I153" s="7">
        <f t="shared" si="8"/>
        <v>15000</v>
      </c>
      <c r="J153" s="7">
        <f t="shared" si="9"/>
        <v>2023</v>
      </c>
      <c r="K153" s="7" t="str">
        <f t="shared" si="10"/>
        <v>June</v>
      </c>
      <c r="L153" s="7" t="str">
        <f t="shared" si="11"/>
        <v>Q2</v>
      </c>
      <c r="M153" s="7" t="s">
        <v>309</v>
      </c>
      <c r="N153" s="7" t="s">
        <v>305</v>
      </c>
      <c r="O153" s="7" t="s">
        <v>305</v>
      </c>
    </row>
    <row r="154" spans="1:15" x14ac:dyDescent="0.35">
      <c r="A154" s="7">
        <v>154</v>
      </c>
      <c r="B154" s="8">
        <v>45071</v>
      </c>
      <c r="C154" s="7" t="s">
        <v>17</v>
      </c>
      <c r="D154" s="7" t="s">
        <v>59</v>
      </c>
      <c r="E154" s="7" t="s">
        <v>75</v>
      </c>
      <c r="F154" s="7" t="s">
        <v>68</v>
      </c>
      <c r="G154" s="7">
        <v>2</v>
      </c>
      <c r="H154" s="7">
        <v>1000</v>
      </c>
      <c r="I154" s="7">
        <f t="shared" si="8"/>
        <v>2000</v>
      </c>
      <c r="J154" s="7">
        <f t="shared" si="9"/>
        <v>2023</v>
      </c>
      <c r="K154" s="7" t="str">
        <f t="shared" si="10"/>
        <v>May</v>
      </c>
      <c r="L154" s="7" t="str">
        <f t="shared" si="11"/>
        <v>Q2</v>
      </c>
      <c r="M154" s="7" t="s">
        <v>298</v>
      </c>
      <c r="N154" s="7" t="s">
        <v>305</v>
      </c>
      <c r="O154" s="7" t="s">
        <v>305</v>
      </c>
    </row>
    <row r="155" spans="1:15" x14ac:dyDescent="0.35">
      <c r="A155" s="7">
        <v>155</v>
      </c>
      <c r="B155" s="8">
        <v>45227</v>
      </c>
      <c r="C155" s="7" t="s">
        <v>10</v>
      </c>
      <c r="D155" s="7" t="s">
        <v>72</v>
      </c>
      <c r="E155" s="7" t="s">
        <v>63</v>
      </c>
      <c r="F155" s="7" t="s">
        <v>67</v>
      </c>
      <c r="G155" s="7">
        <v>4</v>
      </c>
      <c r="H155" s="7">
        <v>20000</v>
      </c>
      <c r="I155" s="7">
        <f t="shared" si="8"/>
        <v>80000</v>
      </c>
      <c r="J155" s="7">
        <f t="shared" si="9"/>
        <v>2023</v>
      </c>
      <c r="K155" s="7" t="str">
        <f t="shared" si="10"/>
        <v>October</v>
      </c>
      <c r="L155" s="7" t="str">
        <f t="shared" si="11"/>
        <v>Q4</v>
      </c>
      <c r="M155" s="7" t="s">
        <v>308</v>
      </c>
      <c r="N155" s="7" t="s">
        <v>305</v>
      </c>
      <c r="O155" s="7" t="s">
        <v>305</v>
      </c>
    </row>
    <row r="156" spans="1:15" x14ac:dyDescent="0.35">
      <c r="A156" s="7">
        <v>156</v>
      </c>
      <c r="B156" s="8">
        <v>45222</v>
      </c>
      <c r="C156" s="7" t="s">
        <v>54</v>
      </c>
      <c r="D156" s="7" t="s">
        <v>59</v>
      </c>
      <c r="E156" s="7" t="s">
        <v>66</v>
      </c>
      <c r="F156" s="7" t="s">
        <v>67</v>
      </c>
      <c r="G156" s="7">
        <v>2</v>
      </c>
      <c r="H156" s="7">
        <v>10000</v>
      </c>
      <c r="I156" s="7">
        <f t="shared" si="8"/>
        <v>20000</v>
      </c>
      <c r="J156" s="7">
        <f t="shared" si="9"/>
        <v>2023</v>
      </c>
      <c r="K156" s="7" t="str">
        <f t="shared" si="10"/>
        <v>October</v>
      </c>
      <c r="L156" s="7" t="str">
        <f t="shared" si="11"/>
        <v>Q4</v>
      </c>
      <c r="M156" s="7" t="s">
        <v>305</v>
      </c>
      <c r="N156" s="7" t="s">
        <v>305</v>
      </c>
      <c r="O156" s="7" t="s">
        <v>306</v>
      </c>
    </row>
    <row r="157" spans="1:15" x14ac:dyDescent="0.35">
      <c r="A157" s="7">
        <v>157</v>
      </c>
      <c r="B157" s="8">
        <v>45056</v>
      </c>
      <c r="C157" s="7" t="s">
        <v>50</v>
      </c>
      <c r="D157" s="7" t="s">
        <v>59</v>
      </c>
      <c r="E157" s="7" t="s">
        <v>75</v>
      </c>
      <c r="F157" s="7" t="s">
        <v>67</v>
      </c>
      <c r="G157" s="7">
        <v>3</v>
      </c>
      <c r="H157" s="9">
        <v>10000</v>
      </c>
      <c r="I157" s="7">
        <f t="shared" si="8"/>
        <v>30000</v>
      </c>
      <c r="J157" s="7">
        <f t="shared" si="9"/>
        <v>2023</v>
      </c>
      <c r="K157" s="7" t="str">
        <f t="shared" si="10"/>
        <v>May</v>
      </c>
      <c r="L157" s="7" t="str">
        <f t="shared" si="11"/>
        <v>Q2</v>
      </c>
      <c r="M157" s="7" t="s">
        <v>298</v>
      </c>
      <c r="N157" s="7" t="s">
        <v>306</v>
      </c>
      <c r="O157" s="7" t="s">
        <v>305</v>
      </c>
    </row>
    <row r="158" spans="1:15" x14ac:dyDescent="0.35">
      <c r="A158" s="7">
        <v>158</v>
      </c>
      <c r="B158" s="8">
        <v>45162</v>
      </c>
      <c r="C158" s="7" t="s">
        <v>53</v>
      </c>
      <c r="D158" s="7" t="s">
        <v>72</v>
      </c>
      <c r="E158" s="7" t="s">
        <v>65</v>
      </c>
      <c r="F158" s="7" t="s">
        <v>68</v>
      </c>
      <c r="G158" s="7">
        <v>3</v>
      </c>
      <c r="H158" s="7">
        <v>30000</v>
      </c>
      <c r="I158" s="7">
        <f t="shared" si="8"/>
        <v>90000</v>
      </c>
      <c r="J158" s="7">
        <f t="shared" si="9"/>
        <v>2023</v>
      </c>
      <c r="K158" s="7" t="str">
        <f t="shared" si="10"/>
        <v>August</v>
      </c>
      <c r="L158" s="7" t="str">
        <f t="shared" si="11"/>
        <v>Q3</v>
      </c>
      <c r="M158" s="7" t="s">
        <v>305</v>
      </c>
      <c r="N158" s="7" t="s">
        <v>306</v>
      </c>
      <c r="O158" s="7" t="s">
        <v>305</v>
      </c>
    </row>
    <row r="159" spans="1:15" x14ac:dyDescent="0.35">
      <c r="A159" s="7">
        <v>159</v>
      </c>
      <c r="B159" s="8">
        <v>45279</v>
      </c>
      <c r="C159" s="7" t="s">
        <v>21</v>
      </c>
      <c r="D159" s="7" t="s">
        <v>72</v>
      </c>
      <c r="E159" s="7" t="s">
        <v>62</v>
      </c>
      <c r="F159" s="7" t="s">
        <v>67</v>
      </c>
      <c r="G159" s="7">
        <v>3</v>
      </c>
      <c r="H159" s="7">
        <v>30000</v>
      </c>
      <c r="I159" s="7">
        <f t="shared" si="8"/>
        <v>90000</v>
      </c>
      <c r="J159" s="7">
        <f t="shared" si="9"/>
        <v>2023</v>
      </c>
      <c r="K159" s="7" t="str">
        <f t="shared" si="10"/>
        <v>December</v>
      </c>
      <c r="L159" s="7" t="str">
        <f t="shared" si="11"/>
        <v>Q4</v>
      </c>
      <c r="M159" s="7" t="s">
        <v>305</v>
      </c>
      <c r="N159" s="7" t="s">
        <v>306</v>
      </c>
      <c r="O159" s="7" t="s">
        <v>305</v>
      </c>
    </row>
    <row r="160" spans="1:15" x14ac:dyDescent="0.35">
      <c r="A160" s="7">
        <v>160</v>
      </c>
      <c r="B160" s="8">
        <v>45096</v>
      </c>
      <c r="C160" s="7" t="s">
        <v>56</v>
      </c>
      <c r="D160" s="7" t="s">
        <v>72</v>
      </c>
      <c r="E160" s="7" t="s">
        <v>75</v>
      </c>
      <c r="F160" s="7" t="s">
        <v>67</v>
      </c>
      <c r="G160" s="7">
        <v>5</v>
      </c>
      <c r="H160" s="7">
        <v>20000</v>
      </c>
      <c r="I160" s="7">
        <f t="shared" si="8"/>
        <v>100000</v>
      </c>
      <c r="J160" s="7">
        <f t="shared" si="9"/>
        <v>2023</v>
      </c>
      <c r="K160" s="7" t="str">
        <f t="shared" si="10"/>
        <v>June</v>
      </c>
      <c r="L160" s="7" t="str">
        <f t="shared" si="11"/>
        <v>Q2</v>
      </c>
      <c r="M160" s="7" t="s">
        <v>301</v>
      </c>
      <c r="N160" s="7" t="s">
        <v>305</v>
      </c>
      <c r="O160" s="7" t="s">
        <v>305</v>
      </c>
    </row>
    <row r="161" spans="1:15" x14ac:dyDescent="0.35">
      <c r="A161" s="7">
        <v>161</v>
      </c>
      <c r="B161" s="8">
        <v>45182</v>
      </c>
      <c r="C161" s="7" t="s">
        <v>33</v>
      </c>
      <c r="D161" s="7" t="s">
        <v>60</v>
      </c>
      <c r="E161" s="7" t="s">
        <v>65</v>
      </c>
      <c r="F161" s="7" t="s">
        <v>67</v>
      </c>
      <c r="G161" s="7">
        <v>5</v>
      </c>
      <c r="H161" s="9">
        <v>10000</v>
      </c>
      <c r="I161" s="7">
        <f t="shared" si="8"/>
        <v>50000</v>
      </c>
      <c r="J161" s="7">
        <f t="shared" si="9"/>
        <v>2023</v>
      </c>
      <c r="K161" s="7" t="str">
        <f t="shared" si="10"/>
        <v>September</v>
      </c>
      <c r="L161" s="7" t="str">
        <f t="shared" si="11"/>
        <v>Q3</v>
      </c>
      <c r="M161" s="7" t="s">
        <v>308</v>
      </c>
      <c r="N161" s="7" t="s">
        <v>305</v>
      </c>
      <c r="O161" s="7" t="s">
        <v>305</v>
      </c>
    </row>
    <row r="162" spans="1:15" x14ac:dyDescent="0.35">
      <c r="A162" s="7">
        <v>162</v>
      </c>
      <c r="B162" s="8">
        <v>45096</v>
      </c>
      <c r="C162" s="7" t="s">
        <v>47</v>
      </c>
      <c r="D162" s="7" t="s">
        <v>72</v>
      </c>
      <c r="E162" s="7" t="s">
        <v>66</v>
      </c>
      <c r="F162" s="7" t="s">
        <v>67</v>
      </c>
      <c r="G162" s="7">
        <v>3</v>
      </c>
      <c r="H162" s="7">
        <v>10000</v>
      </c>
      <c r="I162" s="7">
        <f t="shared" si="8"/>
        <v>30000</v>
      </c>
      <c r="J162" s="7">
        <f t="shared" si="9"/>
        <v>2023</v>
      </c>
      <c r="K162" s="7" t="str">
        <f t="shared" si="10"/>
        <v>June</v>
      </c>
      <c r="L162" s="7" t="str">
        <f t="shared" si="11"/>
        <v>Q2</v>
      </c>
      <c r="M162" s="7" t="s">
        <v>309</v>
      </c>
      <c r="N162" s="7" t="s">
        <v>305</v>
      </c>
      <c r="O162" s="7" t="s">
        <v>306</v>
      </c>
    </row>
    <row r="163" spans="1:15" x14ac:dyDescent="0.35">
      <c r="A163" s="7">
        <v>163</v>
      </c>
      <c r="B163" s="8">
        <v>45096</v>
      </c>
      <c r="C163" s="7" t="s">
        <v>44</v>
      </c>
      <c r="D163" s="7" t="s">
        <v>59</v>
      </c>
      <c r="E163" s="7" t="s">
        <v>63</v>
      </c>
      <c r="F163" s="7" t="s">
        <v>67</v>
      </c>
      <c r="G163" s="7">
        <v>1</v>
      </c>
      <c r="H163" s="7">
        <v>10000</v>
      </c>
      <c r="I163" s="7">
        <f t="shared" si="8"/>
        <v>10000</v>
      </c>
      <c r="J163" s="7">
        <f t="shared" si="9"/>
        <v>2023</v>
      </c>
      <c r="K163" s="7" t="str">
        <f t="shared" si="10"/>
        <v>June</v>
      </c>
      <c r="L163" s="7" t="str">
        <f t="shared" si="11"/>
        <v>Q2</v>
      </c>
      <c r="M163" s="7" t="s">
        <v>300</v>
      </c>
      <c r="N163" s="7" t="s">
        <v>305</v>
      </c>
      <c r="O163" s="7" t="s">
        <v>306</v>
      </c>
    </row>
    <row r="164" spans="1:15" x14ac:dyDescent="0.35">
      <c r="A164" s="7">
        <v>164</v>
      </c>
      <c r="B164" s="8">
        <v>45166</v>
      </c>
      <c r="C164" s="7" t="s">
        <v>33</v>
      </c>
      <c r="D164" s="7" t="s">
        <v>72</v>
      </c>
      <c r="E164" s="7" t="s">
        <v>63</v>
      </c>
      <c r="F164" s="7" t="s">
        <v>67</v>
      </c>
      <c r="G164" s="7">
        <v>1</v>
      </c>
      <c r="H164" s="7">
        <v>20000</v>
      </c>
      <c r="I164" s="7">
        <f t="shared" si="8"/>
        <v>20000</v>
      </c>
      <c r="J164" s="7">
        <f t="shared" si="9"/>
        <v>2023</v>
      </c>
      <c r="K164" s="7" t="str">
        <f t="shared" si="10"/>
        <v>August</v>
      </c>
      <c r="L164" s="7" t="str">
        <f t="shared" si="11"/>
        <v>Q3</v>
      </c>
      <c r="M164" s="7" t="s">
        <v>308</v>
      </c>
      <c r="N164" s="7" t="s">
        <v>305</v>
      </c>
      <c r="O164" s="7" t="s">
        <v>305</v>
      </c>
    </row>
    <row r="165" spans="1:15" x14ac:dyDescent="0.35">
      <c r="A165" s="7">
        <v>165</v>
      </c>
      <c r="B165" s="8">
        <v>45160</v>
      </c>
      <c r="C165" s="7" t="s">
        <v>50</v>
      </c>
      <c r="D165" s="7" t="s">
        <v>72</v>
      </c>
      <c r="E165" s="7" t="s">
        <v>65</v>
      </c>
      <c r="F165" s="7" t="s">
        <v>67</v>
      </c>
      <c r="G165" s="7">
        <v>1</v>
      </c>
      <c r="H165" s="9">
        <v>10000</v>
      </c>
      <c r="I165" s="7">
        <f t="shared" si="8"/>
        <v>10000</v>
      </c>
      <c r="J165" s="7">
        <f t="shared" si="9"/>
        <v>2023</v>
      </c>
      <c r="K165" s="7" t="str">
        <f t="shared" si="10"/>
        <v>August</v>
      </c>
      <c r="L165" s="7" t="str">
        <f t="shared" si="11"/>
        <v>Q3</v>
      </c>
      <c r="M165" s="7" t="s">
        <v>305</v>
      </c>
      <c r="N165" s="7" t="s">
        <v>305</v>
      </c>
      <c r="O165" s="7" t="s">
        <v>305</v>
      </c>
    </row>
    <row r="166" spans="1:15" x14ac:dyDescent="0.35">
      <c r="A166" s="7">
        <v>166</v>
      </c>
      <c r="B166" s="8">
        <v>45051</v>
      </c>
      <c r="C166" s="7" t="s">
        <v>38</v>
      </c>
      <c r="D166" s="7" t="s">
        <v>60</v>
      </c>
      <c r="E166" s="7" t="s">
        <v>62</v>
      </c>
      <c r="F166" s="7" t="s">
        <v>67</v>
      </c>
      <c r="G166" s="7">
        <v>3</v>
      </c>
      <c r="H166" s="7">
        <v>1000</v>
      </c>
      <c r="I166" s="7">
        <f t="shared" si="8"/>
        <v>3000</v>
      </c>
      <c r="J166" s="7">
        <f t="shared" si="9"/>
        <v>2023</v>
      </c>
      <c r="K166" s="7" t="str">
        <f t="shared" si="10"/>
        <v>May</v>
      </c>
      <c r="L166" s="7" t="str">
        <f t="shared" si="11"/>
        <v>Q2</v>
      </c>
      <c r="M166" s="7" t="s">
        <v>305</v>
      </c>
      <c r="N166" s="7" t="s">
        <v>305</v>
      </c>
      <c r="O166" s="7" t="s">
        <v>305</v>
      </c>
    </row>
    <row r="167" spans="1:15" x14ac:dyDescent="0.35">
      <c r="A167" s="7">
        <v>167</v>
      </c>
      <c r="B167" s="8">
        <v>45097</v>
      </c>
      <c r="C167" s="7" t="s">
        <v>25</v>
      </c>
      <c r="D167" s="7" t="s">
        <v>72</v>
      </c>
      <c r="E167" s="7" t="s">
        <v>65</v>
      </c>
      <c r="F167" s="7" t="s">
        <v>68</v>
      </c>
      <c r="G167" s="7">
        <v>2</v>
      </c>
      <c r="H167" s="7">
        <v>10000</v>
      </c>
      <c r="I167" s="7">
        <f t="shared" si="8"/>
        <v>20000</v>
      </c>
      <c r="J167" s="7">
        <f t="shared" si="9"/>
        <v>2023</v>
      </c>
      <c r="K167" s="7" t="str">
        <f t="shared" si="10"/>
        <v>June</v>
      </c>
      <c r="L167" s="7" t="str">
        <f t="shared" si="11"/>
        <v>Q2</v>
      </c>
      <c r="M167" s="7" t="s">
        <v>305</v>
      </c>
      <c r="N167" s="7" t="s">
        <v>305</v>
      </c>
      <c r="O167" s="7" t="s">
        <v>306</v>
      </c>
    </row>
    <row r="168" spans="1:15" x14ac:dyDescent="0.35">
      <c r="A168" s="7">
        <v>168</v>
      </c>
      <c r="B168" s="8">
        <v>45096</v>
      </c>
      <c r="C168" s="7" t="s">
        <v>11</v>
      </c>
      <c r="D168" s="7" t="s">
        <v>61</v>
      </c>
      <c r="E168" s="7" t="s">
        <v>64</v>
      </c>
      <c r="F168" s="7" t="s">
        <v>67</v>
      </c>
      <c r="G168" s="7">
        <v>5</v>
      </c>
      <c r="H168" s="7">
        <v>20000</v>
      </c>
      <c r="I168" s="7">
        <f t="shared" si="8"/>
        <v>100000</v>
      </c>
      <c r="J168" s="7">
        <f t="shared" si="9"/>
        <v>2023</v>
      </c>
      <c r="K168" s="7" t="str">
        <f t="shared" si="10"/>
        <v>June</v>
      </c>
      <c r="L168" s="7" t="str">
        <f t="shared" si="11"/>
        <v>Q2</v>
      </c>
      <c r="M168" s="7" t="s">
        <v>309</v>
      </c>
      <c r="N168" s="7" t="s">
        <v>305</v>
      </c>
      <c r="O168" s="7" t="s">
        <v>305</v>
      </c>
    </row>
    <row r="169" spans="1:15" x14ac:dyDescent="0.35">
      <c r="A169" s="7">
        <v>169</v>
      </c>
      <c r="B169" s="8">
        <v>45011</v>
      </c>
      <c r="C169" s="7" t="s">
        <v>38</v>
      </c>
      <c r="D169" s="7" t="s">
        <v>59</v>
      </c>
      <c r="E169" s="7" t="s">
        <v>65</v>
      </c>
      <c r="F169" s="7" t="s">
        <v>67</v>
      </c>
      <c r="G169" s="7">
        <v>3</v>
      </c>
      <c r="H169" s="7">
        <v>30000</v>
      </c>
      <c r="I169" s="7">
        <f t="shared" si="8"/>
        <v>90000</v>
      </c>
      <c r="J169" s="7">
        <f t="shared" si="9"/>
        <v>2023</v>
      </c>
      <c r="K169" s="7" t="str">
        <f t="shared" si="10"/>
        <v>March</v>
      </c>
      <c r="L169" s="7" t="str">
        <f t="shared" si="11"/>
        <v>Q1</v>
      </c>
      <c r="M169" s="7" t="s">
        <v>305</v>
      </c>
      <c r="N169" s="7" t="s">
        <v>306</v>
      </c>
      <c r="O169" s="7" t="s">
        <v>305</v>
      </c>
    </row>
    <row r="170" spans="1:15" x14ac:dyDescent="0.35">
      <c r="A170" s="7">
        <v>170</v>
      </c>
      <c r="B170" s="8">
        <v>44970</v>
      </c>
      <c r="C170" s="7" t="s">
        <v>73</v>
      </c>
      <c r="D170" s="7" t="s">
        <v>60</v>
      </c>
      <c r="E170" s="7" t="s">
        <v>65</v>
      </c>
      <c r="F170" s="7" t="s">
        <v>68</v>
      </c>
      <c r="G170" s="7">
        <v>5</v>
      </c>
      <c r="H170" s="7">
        <v>1000</v>
      </c>
      <c r="I170" s="7">
        <f t="shared" si="8"/>
        <v>5000</v>
      </c>
      <c r="J170" s="7">
        <f t="shared" si="9"/>
        <v>2023</v>
      </c>
      <c r="K170" s="7" t="str">
        <f t="shared" si="10"/>
        <v>February</v>
      </c>
      <c r="L170" s="7" t="str">
        <f t="shared" si="11"/>
        <v>Q1</v>
      </c>
      <c r="M170" s="7" t="s">
        <v>305</v>
      </c>
      <c r="N170" s="7" t="s">
        <v>305</v>
      </c>
      <c r="O170" s="7" t="s">
        <v>305</v>
      </c>
    </row>
    <row r="171" spans="1:15" x14ac:dyDescent="0.35">
      <c r="A171" s="7">
        <v>171</v>
      </c>
      <c r="B171" s="8">
        <v>45126</v>
      </c>
      <c r="C171" s="7" t="s">
        <v>12</v>
      </c>
      <c r="D171" s="7" t="s">
        <v>72</v>
      </c>
      <c r="E171" s="7" t="s">
        <v>75</v>
      </c>
      <c r="F171" s="7" t="s">
        <v>76</v>
      </c>
      <c r="G171" s="7">
        <v>3</v>
      </c>
      <c r="H171" s="7">
        <v>5000</v>
      </c>
      <c r="I171" s="7">
        <f t="shared" si="8"/>
        <v>15000</v>
      </c>
      <c r="J171" s="7">
        <f t="shared" si="9"/>
        <v>2023</v>
      </c>
      <c r="K171" s="7" t="str">
        <f t="shared" si="10"/>
        <v>July</v>
      </c>
      <c r="L171" s="7" t="str">
        <f t="shared" si="11"/>
        <v>Q3</v>
      </c>
      <c r="M171" s="7" t="s">
        <v>299</v>
      </c>
      <c r="N171" s="7" t="s">
        <v>306</v>
      </c>
      <c r="O171" s="7" t="s">
        <v>305</v>
      </c>
    </row>
    <row r="172" spans="1:15" x14ac:dyDescent="0.35">
      <c r="A172" s="7">
        <v>172</v>
      </c>
      <c r="B172" s="8">
        <v>45096</v>
      </c>
      <c r="C172" s="7" t="s">
        <v>58</v>
      </c>
      <c r="D172" s="7" t="s">
        <v>60</v>
      </c>
      <c r="E172" s="7" t="s">
        <v>66</v>
      </c>
      <c r="F172" s="7" t="s">
        <v>68</v>
      </c>
      <c r="G172" s="7">
        <v>4</v>
      </c>
      <c r="H172" s="7">
        <v>5000</v>
      </c>
      <c r="I172" s="7">
        <f t="shared" si="8"/>
        <v>20000</v>
      </c>
      <c r="J172" s="7">
        <f t="shared" si="9"/>
        <v>2023</v>
      </c>
      <c r="K172" s="7" t="str">
        <f t="shared" si="10"/>
        <v>June</v>
      </c>
      <c r="L172" s="7" t="str">
        <f t="shared" si="11"/>
        <v>Q2</v>
      </c>
      <c r="M172" s="7" t="s">
        <v>300</v>
      </c>
      <c r="N172" s="7" t="s">
        <v>305</v>
      </c>
      <c r="O172" s="7" t="s">
        <v>305</v>
      </c>
    </row>
    <row r="173" spans="1:15" x14ac:dyDescent="0.35">
      <c r="A173" s="7">
        <v>173</v>
      </c>
      <c r="B173" s="8">
        <v>45160</v>
      </c>
      <c r="C173" s="7" t="s">
        <v>17</v>
      </c>
      <c r="D173" s="7" t="s">
        <v>59</v>
      </c>
      <c r="E173" s="7" t="s">
        <v>64</v>
      </c>
      <c r="F173" s="7" t="s">
        <v>67</v>
      </c>
      <c r="G173" s="7">
        <v>3</v>
      </c>
      <c r="H173" s="7">
        <v>20000</v>
      </c>
      <c r="I173" s="7">
        <f t="shared" si="8"/>
        <v>60000</v>
      </c>
      <c r="J173" s="7">
        <f t="shared" si="9"/>
        <v>2023</v>
      </c>
      <c r="K173" s="7" t="str">
        <f t="shared" si="10"/>
        <v>August</v>
      </c>
      <c r="L173" s="7" t="str">
        <f t="shared" si="11"/>
        <v>Q3</v>
      </c>
      <c r="M173" s="7" t="s">
        <v>305</v>
      </c>
      <c r="N173" s="7" t="s">
        <v>305</v>
      </c>
      <c r="O173" s="7" t="s">
        <v>305</v>
      </c>
    </row>
    <row r="174" spans="1:15" x14ac:dyDescent="0.35">
      <c r="A174" s="7">
        <v>174</v>
      </c>
      <c r="B174" s="8">
        <v>45096</v>
      </c>
      <c r="C174" s="7" t="s">
        <v>19</v>
      </c>
      <c r="D174" s="7" t="s">
        <v>72</v>
      </c>
      <c r="E174" s="7" t="s">
        <v>64</v>
      </c>
      <c r="F174" s="7" t="s">
        <v>67</v>
      </c>
      <c r="G174" s="7">
        <v>3</v>
      </c>
      <c r="H174" s="7">
        <v>10000</v>
      </c>
      <c r="I174" s="7">
        <f t="shared" si="8"/>
        <v>30000</v>
      </c>
      <c r="J174" s="7">
        <f t="shared" si="9"/>
        <v>2023</v>
      </c>
      <c r="K174" s="7" t="str">
        <f t="shared" si="10"/>
        <v>June</v>
      </c>
      <c r="L174" s="7" t="str">
        <f t="shared" si="11"/>
        <v>Q2</v>
      </c>
      <c r="M174" s="7" t="s">
        <v>309</v>
      </c>
      <c r="N174" s="7" t="s">
        <v>306</v>
      </c>
      <c r="O174" s="7" t="s">
        <v>306</v>
      </c>
    </row>
    <row r="175" spans="1:15" x14ac:dyDescent="0.35">
      <c r="A175" s="7">
        <v>175</v>
      </c>
      <c r="B175" s="8">
        <v>45090</v>
      </c>
      <c r="C175" s="7" t="s">
        <v>17</v>
      </c>
      <c r="D175" s="7" t="s">
        <v>72</v>
      </c>
      <c r="E175" s="7" t="s">
        <v>65</v>
      </c>
      <c r="F175" s="7" t="s">
        <v>67</v>
      </c>
      <c r="G175" s="7">
        <v>3</v>
      </c>
      <c r="H175" s="7">
        <v>10000</v>
      </c>
      <c r="I175" s="7">
        <f t="shared" si="8"/>
        <v>30000</v>
      </c>
      <c r="J175" s="7">
        <f t="shared" si="9"/>
        <v>2023</v>
      </c>
      <c r="K175" s="7" t="str">
        <f t="shared" si="10"/>
        <v>June</v>
      </c>
      <c r="L175" s="7" t="str">
        <f t="shared" si="11"/>
        <v>Q2</v>
      </c>
      <c r="M175" s="7" t="s">
        <v>305</v>
      </c>
      <c r="N175" s="7" t="s">
        <v>305</v>
      </c>
      <c r="O175" s="7" t="s">
        <v>306</v>
      </c>
    </row>
    <row r="176" spans="1:15" x14ac:dyDescent="0.35">
      <c r="A176" s="7">
        <v>176</v>
      </c>
      <c r="B176" s="8">
        <v>45155</v>
      </c>
      <c r="C176" s="7" t="s">
        <v>58</v>
      </c>
      <c r="D176" s="7" t="s">
        <v>61</v>
      </c>
      <c r="E176" s="7" t="s">
        <v>75</v>
      </c>
      <c r="F176" s="7" t="s">
        <v>68</v>
      </c>
      <c r="G176" s="7">
        <v>3</v>
      </c>
      <c r="H176" s="7">
        <v>5000</v>
      </c>
      <c r="I176" s="7">
        <f t="shared" si="8"/>
        <v>15000</v>
      </c>
      <c r="J176" s="7">
        <f t="shared" si="9"/>
        <v>2023</v>
      </c>
      <c r="K176" s="7" t="str">
        <f t="shared" si="10"/>
        <v>August</v>
      </c>
      <c r="L176" s="7" t="str">
        <f t="shared" si="11"/>
        <v>Q3</v>
      </c>
      <c r="M176" s="7" t="s">
        <v>298</v>
      </c>
      <c r="N176" s="7" t="s">
        <v>306</v>
      </c>
      <c r="O176" s="7" t="s">
        <v>305</v>
      </c>
    </row>
    <row r="177" spans="1:15" x14ac:dyDescent="0.35">
      <c r="A177" s="7">
        <v>177</v>
      </c>
      <c r="B177" s="8">
        <v>45096</v>
      </c>
      <c r="C177" s="7" t="s">
        <v>54</v>
      </c>
      <c r="D177" s="7" t="s">
        <v>72</v>
      </c>
      <c r="E177" s="7" t="s">
        <v>62</v>
      </c>
      <c r="F177" s="7" t="s">
        <v>68</v>
      </c>
      <c r="G177" s="7">
        <v>3</v>
      </c>
      <c r="H177" s="7">
        <v>10000</v>
      </c>
      <c r="I177" s="7">
        <f t="shared" si="8"/>
        <v>30000</v>
      </c>
      <c r="J177" s="7">
        <f t="shared" si="9"/>
        <v>2023</v>
      </c>
      <c r="K177" s="7" t="str">
        <f t="shared" si="10"/>
        <v>June</v>
      </c>
      <c r="L177" s="7" t="str">
        <f t="shared" si="11"/>
        <v>Q2</v>
      </c>
      <c r="M177" s="7" t="s">
        <v>300</v>
      </c>
      <c r="N177" s="7" t="s">
        <v>306</v>
      </c>
      <c r="O177" s="7" t="s">
        <v>306</v>
      </c>
    </row>
    <row r="178" spans="1:15" x14ac:dyDescent="0.35">
      <c r="A178" s="7">
        <v>178</v>
      </c>
      <c r="B178" s="8">
        <v>45118</v>
      </c>
      <c r="C178" s="7" t="s">
        <v>73</v>
      </c>
      <c r="D178" s="7" t="s">
        <v>59</v>
      </c>
      <c r="E178" s="7" t="s">
        <v>64</v>
      </c>
      <c r="F178" s="7" t="s">
        <v>67</v>
      </c>
      <c r="G178" s="7">
        <v>1</v>
      </c>
      <c r="H178" s="7">
        <v>10000</v>
      </c>
      <c r="I178" s="7">
        <f t="shared" si="8"/>
        <v>10000</v>
      </c>
      <c r="J178" s="7">
        <f t="shared" si="9"/>
        <v>2023</v>
      </c>
      <c r="K178" s="7" t="str">
        <f t="shared" si="10"/>
        <v>July</v>
      </c>
      <c r="L178" s="7" t="str">
        <f t="shared" si="11"/>
        <v>Q3</v>
      </c>
      <c r="M178" s="7" t="s">
        <v>305</v>
      </c>
      <c r="N178" s="7" t="s">
        <v>305</v>
      </c>
      <c r="O178" s="7" t="s">
        <v>306</v>
      </c>
    </row>
    <row r="179" spans="1:15" x14ac:dyDescent="0.35">
      <c r="A179" s="7">
        <v>179</v>
      </c>
      <c r="B179" s="8">
        <v>45241</v>
      </c>
      <c r="C179" s="7" t="s">
        <v>57</v>
      </c>
      <c r="D179" s="7" t="s">
        <v>72</v>
      </c>
      <c r="E179" s="7" t="s">
        <v>62</v>
      </c>
      <c r="F179" s="7" t="s">
        <v>68</v>
      </c>
      <c r="G179" s="7">
        <v>3</v>
      </c>
      <c r="H179" s="7">
        <v>20000</v>
      </c>
      <c r="I179" s="7">
        <f t="shared" si="8"/>
        <v>60000</v>
      </c>
      <c r="J179" s="7">
        <f t="shared" si="9"/>
        <v>2023</v>
      </c>
      <c r="K179" s="7" t="str">
        <f t="shared" si="10"/>
        <v>November</v>
      </c>
      <c r="L179" s="7" t="str">
        <f t="shared" si="11"/>
        <v>Q4</v>
      </c>
      <c r="M179" s="7" t="s">
        <v>305</v>
      </c>
      <c r="N179" s="7" t="s">
        <v>305</v>
      </c>
      <c r="O179" s="7" t="s">
        <v>305</v>
      </c>
    </row>
    <row r="180" spans="1:15" x14ac:dyDescent="0.35">
      <c r="A180" s="7">
        <v>180</v>
      </c>
      <c r="B180" s="8">
        <v>44936</v>
      </c>
      <c r="C180" s="7" t="s">
        <v>29</v>
      </c>
      <c r="D180" s="7" t="s">
        <v>59</v>
      </c>
      <c r="E180" s="7" t="s">
        <v>66</v>
      </c>
      <c r="F180" s="7" t="s">
        <v>68</v>
      </c>
      <c r="G180" s="7">
        <v>3</v>
      </c>
      <c r="H180" s="7">
        <v>5000</v>
      </c>
      <c r="I180" s="7">
        <f t="shared" si="8"/>
        <v>15000</v>
      </c>
      <c r="J180" s="7">
        <f t="shared" si="9"/>
        <v>2023</v>
      </c>
      <c r="K180" s="7" t="str">
        <f t="shared" si="10"/>
        <v>January</v>
      </c>
      <c r="L180" s="7" t="str">
        <f t="shared" si="11"/>
        <v>Q1</v>
      </c>
      <c r="M180" s="7" t="s">
        <v>305</v>
      </c>
      <c r="N180" s="7" t="s">
        <v>306</v>
      </c>
      <c r="O180" s="7" t="s">
        <v>305</v>
      </c>
    </row>
    <row r="181" spans="1:15" x14ac:dyDescent="0.35">
      <c r="A181" s="7">
        <v>181</v>
      </c>
      <c r="B181" s="8">
        <v>45067</v>
      </c>
      <c r="C181" s="7" t="s">
        <v>48</v>
      </c>
      <c r="D181" s="7" t="s">
        <v>60</v>
      </c>
      <c r="E181" s="7" t="s">
        <v>65</v>
      </c>
      <c r="F181" s="7" t="s">
        <v>68</v>
      </c>
      <c r="G181" s="7">
        <v>1</v>
      </c>
      <c r="H181" s="7">
        <v>10000</v>
      </c>
      <c r="I181" s="7">
        <f t="shared" si="8"/>
        <v>10000</v>
      </c>
      <c r="J181" s="7">
        <f t="shared" si="9"/>
        <v>2023</v>
      </c>
      <c r="K181" s="7" t="str">
        <f t="shared" si="10"/>
        <v>May</v>
      </c>
      <c r="L181" s="7" t="str">
        <f t="shared" si="11"/>
        <v>Q2</v>
      </c>
      <c r="M181" s="7" t="s">
        <v>305</v>
      </c>
      <c r="N181" s="7" t="s">
        <v>305</v>
      </c>
      <c r="O181" s="7" t="s">
        <v>306</v>
      </c>
    </row>
    <row r="182" spans="1:15" x14ac:dyDescent="0.35">
      <c r="A182" s="7">
        <v>182</v>
      </c>
      <c r="B182" s="8">
        <v>45096</v>
      </c>
      <c r="C182" s="7" t="s">
        <v>24</v>
      </c>
      <c r="D182" s="7" t="s">
        <v>72</v>
      </c>
      <c r="E182" s="7" t="s">
        <v>64</v>
      </c>
      <c r="F182" s="7" t="s">
        <v>67</v>
      </c>
      <c r="G182" s="7">
        <v>3</v>
      </c>
      <c r="H182" s="7">
        <v>20000</v>
      </c>
      <c r="I182" s="7">
        <f t="shared" si="8"/>
        <v>60000</v>
      </c>
      <c r="J182" s="7">
        <f t="shared" si="9"/>
        <v>2023</v>
      </c>
      <c r="K182" s="7" t="str">
        <f t="shared" si="10"/>
        <v>June</v>
      </c>
      <c r="L182" s="7" t="str">
        <f t="shared" si="11"/>
        <v>Q2</v>
      </c>
      <c r="M182" s="7" t="s">
        <v>300</v>
      </c>
      <c r="N182" s="7" t="s">
        <v>305</v>
      </c>
      <c r="O182" s="7" t="s">
        <v>305</v>
      </c>
    </row>
    <row r="183" spans="1:15" x14ac:dyDescent="0.35">
      <c r="A183" s="7">
        <v>183</v>
      </c>
      <c r="B183" s="8">
        <v>45179</v>
      </c>
      <c r="C183" s="7" t="s">
        <v>23</v>
      </c>
      <c r="D183" s="7" t="s">
        <v>61</v>
      </c>
      <c r="E183" s="7" t="s">
        <v>66</v>
      </c>
      <c r="F183" s="7" t="s">
        <v>67</v>
      </c>
      <c r="G183" s="7">
        <v>3</v>
      </c>
      <c r="H183" s="9">
        <v>10000</v>
      </c>
      <c r="I183" s="7">
        <f t="shared" si="8"/>
        <v>30000</v>
      </c>
      <c r="J183" s="7">
        <f t="shared" si="9"/>
        <v>2023</v>
      </c>
      <c r="K183" s="7" t="str">
        <f t="shared" si="10"/>
        <v>September</v>
      </c>
      <c r="L183" s="7" t="str">
        <f t="shared" si="11"/>
        <v>Q3</v>
      </c>
      <c r="M183" s="7" t="s">
        <v>305</v>
      </c>
      <c r="N183" s="7" t="s">
        <v>306</v>
      </c>
      <c r="O183" s="7" t="s">
        <v>305</v>
      </c>
    </row>
    <row r="184" spans="1:15" x14ac:dyDescent="0.35">
      <c r="A184" s="7">
        <v>184</v>
      </c>
      <c r="B184" s="8">
        <v>44967</v>
      </c>
      <c r="C184" s="7" t="s">
        <v>30</v>
      </c>
      <c r="D184" s="7" t="s">
        <v>61</v>
      </c>
      <c r="E184" s="7" t="s">
        <v>63</v>
      </c>
      <c r="F184" s="7" t="s">
        <v>67</v>
      </c>
      <c r="G184" s="7">
        <v>3</v>
      </c>
      <c r="H184" s="7">
        <v>5000</v>
      </c>
      <c r="I184" s="7">
        <f t="shared" si="8"/>
        <v>15000</v>
      </c>
      <c r="J184" s="7">
        <f t="shared" si="9"/>
        <v>2023</v>
      </c>
      <c r="K184" s="7" t="str">
        <f t="shared" si="10"/>
        <v>February</v>
      </c>
      <c r="L184" s="7" t="str">
        <f t="shared" si="11"/>
        <v>Q1</v>
      </c>
      <c r="M184" s="7" t="s">
        <v>305</v>
      </c>
      <c r="N184" s="7" t="s">
        <v>305</v>
      </c>
      <c r="O184" s="7" t="s">
        <v>305</v>
      </c>
    </row>
    <row r="185" spans="1:15" x14ac:dyDescent="0.35">
      <c r="A185" s="7">
        <v>185</v>
      </c>
      <c r="B185" s="8">
        <v>45131</v>
      </c>
      <c r="C185" s="7" t="s">
        <v>32</v>
      </c>
      <c r="D185" s="7" t="s">
        <v>72</v>
      </c>
      <c r="E185" s="7" t="s">
        <v>75</v>
      </c>
      <c r="F185" s="7" t="s">
        <v>68</v>
      </c>
      <c r="G185" s="7">
        <v>5</v>
      </c>
      <c r="H185" s="7">
        <v>1000</v>
      </c>
      <c r="I185" s="7">
        <f t="shared" si="8"/>
        <v>5000</v>
      </c>
      <c r="J185" s="7">
        <f t="shared" si="9"/>
        <v>2023</v>
      </c>
      <c r="K185" s="7" t="str">
        <f t="shared" si="10"/>
        <v>July</v>
      </c>
      <c r="L185" s="7" t="str">
        <f t="shared" si="11"/>
        <v>Q3</v>
      </c>
      <c r="M185" s="7" t="s">
        <v>298</v>
      </c>
      <c r="N185" s="7" t="s">
        <v>305</v>
      </c>
      <c r="O185" s="7" t="s">
        <v>305</v>
      </c>
    </row>
    <row r="186" spans="1:15" x14ac:dyDescent="0.35">
      <c r="A186" s="7">
        <v>186</v>
      </c>
      <c r="B186" s="8">
        <v>45028</v>
      </c>
      <c r="C186" s="7" t="s">
        <v>58</v>
      </c>
      <c r="D186" s="7" t="s">
        <v>60</v>
      </c>
      <c r="E186" s="7" t="s">
        <v>63</v>
      </c>
      <c r="F186" s="7" t="s">
        <v>67</v>
      </c>
      <c r="G186" s="7">
        <v>3</v>
      </c>
      <c r="H186" s="7">
        <v>10000</v>
      </c>
      <c r="I186" s="7">
        <f t="shared" si="8"/>
        <v>30000</v>
      </c>
      <c r="J186" s="7">
        <f t="shared" si="9"/>
        <v>2023</v>
      </c>
      <c r="K186" s="7" t="str">
        <f t="shared" si="10"/>
        <v>April</v>
      </c>
      <c r="L186" s="7" t="str">
        <f t="shared" si="11"/>
        <v>Q2</v>
      </c>
      <c r="M186" s="7" t="s">
        <v>308</v>
      </c>
      <c r="N186" s="7" t="s">
        <v>305</v>
      </c>
      <c r="O186" s="7" t="s">
        <v>306</v>
      </c>
    </row>
    <row r="187" spans="1:15" x14ac:dyDescent="0.35">
      <c r="A187" s="7">
        <v>187</v>
      </c>
      <c r="B187" s="8">
        <v>44988</v>
      </c>
      <c r="C187" s="7" t="s">
        <v>33</v>
      </c>
      <c r="D187" s="7" t="s">
        <v>59</v>
      </c>
      <c r="E187" s="7" t="s">
        <v>64</v>
      </c>
      <c r="F187" s="7" t="s">
        <v>67</v>
      </c>
      <c r="G187" s="7">
        <v>3</v>
      </c>
      <c r="H187" s="7">
        <v>1000</v>
      </c>
      <c r="I187" s="7">
        <f t="shared" si="8"/>
        <v>3000</v>
      </c>
      <c r="J187" s="7">
        <f t="shared" si="9"/>
        <v>2023</v>
      </c>
      <c r="K187" s="7" t="str">
        <f t="shared" si="10"/>
        <v>March</v>
      </c>
      <c r="L187" s="7" t="str">
        <f t="shared" si="11"/>
        <v>Q1</v>
      </c>
      <c r="M187" s="7" t="s">
        <v>305</v>
      </c>
      <c r="N187" s="7" t="s">
        <v>305</v>
      </c>
      <c r="O187" s="7" t="s">
        <v>305</v>
      </c>
    </row>
    <row r="188" spans="1:15" x14ac:dyDescent="0.35">
      <c r="A188" s="7">
        <v>188</v>
      </c>
      <c r="B188" s="8">
        <v>45192</v>
      </c>
      <c r="C188" s="7" t="s">
        <v>29</v>
      </c>
      <c r="D188" s="7" t="s">
        <v>72</v>
      </c>
      <c r="E188" s="7" t="s">
        <v>64</v>
      </c>
      <c r="F188" s="7" t="s">
        <v>68</v>
      </c>
      <c r="G188" s="7">
        <v>5</v>
      </c>
      <c r="H188" s="9">
        <v>10000</v>
      </c>
      <c r="I188" s="7">
        <f t="shared" si="8"/>
        <v>50000</v>
      </c>
      <c r="J188" s="7">
        <f t="shared" si="9"/>
        <v>2023</v>
      </c>
      <c r="K188" s="7" t="str">
        <f t="shared" si="10"/>
        <v>September</v>
      </c>
      <c r="L188" s="7" t="str">
        <f t="shared" si="11"/>
        <v>Q3</v>
      </c>
      <c r="M188" s="7" t="s">
        <v>305</v>
      </c>
      <c r="N188" s="7" t="s">
        <v>305</v>
      </c>
      <c r="O188" s="7" t="s">
        <v>305</v>
      </c>
    </row>
    <row r="189" spans="1:15" x14ac:dyDescent="0.35">
      <c r="A189" s="7">
        <v>189</v>
      </c>
      <c r="B189" s="8">
        <v>45095</v>
      </c>
      <c r="C189" s="7" t="s">
        <v>15</v>
      </c>
      <c r="D189" s="7" t="s">
        <v>72</v>
      </c>
      <c r="E189" s="7" t="s">
        <v>66</v>
      </c>
      <c r="F189" s="7" t="s">
        <v>67</v>
      </c>
      <c r="G189" s="7">
        <v>1</v>
      </c>
      <c r="H189" s="7">
        <v>10000</v>
      </c>
      <c r="I189" s="7">
        <f t="shared" si="8"/>
        <v>10000</v>
      </c>
      <c r="J189" s="7">
        <f t="shared" si="9"/>
        <v>2023</v>
      </c>
      <c r="K189" s="7" t="str">
        <f t="shared" si="10"/>
        <v>June</v>
      </c>
      <c r="L189" s="7" t="str">
        <f t="shared" si="11"/>
        <v>Q2</v>
      </c>
      <c r="M189" s="7" t="s">
        <v>305</v>
      </c>
      <c r="N189" s="7" t="s">
        <v>305</v>
      </c>
      <c r="O189" s="7" t="s">
        <v>306</v>
      </c>
    </row>
    <row r="190" spans="1:15" x14ac:dyDescent="0.35">
      <c r="A190" s="7">
        <v>190</v>
      </c>
      <c r="B190" s="8">
        <v>45093</v>
      </c>
      <c r="C190" s="7" t="s">
        <v>30</v>
      </c>
      <c r="D190" s="7" t="s">
        <v>61</v>
      </c>
      <c r="E190" s="7" t="s">
        <v>64</v>
      </c>
      <c r="F190" s="7" t="s">
        <v>67</v>
      </c>
      <c r="G190" s="7">
        <v>4</v>
      </c>
      <c r="H190" s="7">
        <v>1000</v>
      </c>
      <c r="I190" s="7">
        <f t="shared" si="8"/>
        <v>4000</v>
      </c>
      <c r="J190" s="7">
        <f t="shared" si="9"/>
        <v>2023</v>
      </c>
      <c r="K190" s="7" t="str">
        <f t="shared" si="10"/>
        <v>June</v>
      </c>
      <c r="L190" s="7" t="str">
        <f t="shared" si="11"/>
        <v>Q2</v>
      </c>
      <c r="M190" s="7" t="s">
        <v>305</v>
      </c>
      <c r="N190" s="7" t="s">
        <v>305</v>
      </c>
      <c r="O190" s="7" t="s">
        <v>305</v>
      </c>
    </row>
    <row r="191" spans="1:15" x14ac:dyDescent="0.35">
      <c r="A191" s="7">
        <v>191</v>
      </c>
      <c r="B191" s="8">
        <v>45096</v>
      </c>
      <c r="C191" s="7" t="s">
        <v>14</v>
      </c>
      <c r="D191" s="7" t="s">
        <v>72</v>
      </c>
      <c r="E191" s="7" t="s">
        <v>63</v>
      </c>
      <c r="F191" s="7" t="s">
        <v>67</v>
      </c>
      <c r="G191" s="7">
        <v>3</v>
      </c>
      <c r="H191" s="7">
        <v>1000</v>
      </c>
      <c r="I191" s="7">
        <f t="shared" si="8"/>
        <v>3000</v>
      </c>
      <c r="J191" s="7">
        <f t="shared" si="9"/>
        <v>2023</v>
      </c>
      <c r="K191" s="7" t="str">
        <f t="shared" si="10"/>
        <v>June</v>
      </c>
      <c r="L191" s="7" t="str">
        <f t="shared" si="11"/>
        <v>Q2</v>
      </c>
      <c r="M191" s="7" t="s">
        <v>309</v>
      </c>
      <c r="N191" s="7" t="s">
        <v>305</v>
      </c>
      <c r="O191" s="7" t="s">
        <v>305</v>
      </c>
    </row>
    <row r="192" spans="1:15" x14ac:dyDescent="0.35">
      <c r="A192" s="7">
        <v>192</v>
      </c>
      <c r="B192" s="8">
        <v>45096</v>
      </c>
      <c r="C192" s="7" t="s">
        <v>9</v>
      </c>
      <c r="D192" s="7" t="s">
        <v>59</v>
      </c>
      <c r="E192" s="7" t="s">
        <v>75</v>
      </c>
      <c r="F192" s="7" t="s">
        <v>76</v>
      </c>
      <c r="G192" s="7">
        <v>2</v>
      </c>
      <c r="H192" s="7">
        <v>1000</v>
      </c>
      <c r="I192" s="7">
        <f t="shared" si="8"/>
        <v>2000</v>
      </c>
      <c r="J192" s="7">
        <f t="shared" si="9"/>
        <v>2023</v>
      </c>
      <c r="K192" s="7" t="str">
        <f t="shared" si="10"/>
        <v>June</v>
      </c>
      <c r="L192" s="7" t="str">
        <f t="shared" si="11"/>
        <v>Q2</v>
      </c>
      <c r="M192" s="7" t="s">
        <v>302</v>
      </c>
      <c r="N192" s="7" t="s">
        <v>305</v>
      </c>
      <c r="O192" s="7" t="s">
        <v>305</v>
      </c>
    </row>
    <row r="193" spans="1:15" x14ac:dyDescent="0.35">
      <c r="A193" s="7">
        <v>193</v>
      </c>
      <c r="B193" s="8">
        <v>45044</v>
      </c>
      <c r="C193" s="7" t="s">
        <v>40</v>
      </c>
      <c r="D193" s="7" t="s">
        <v>61</v>
      </c>
      <c r="E193" s="7" t="s">
        <v>64</v>
      </c>
      <c r="F193" s="7" t="s">
        <v>67</v>
      </c>
      <c r="G193" s="7">
        <v>2</v>
      </c>
      <c r="H193" s="7">
        <v>1000</v>
      </c>
      <c r="I193" s="7">
        <f t="shared" si="8"/>
        <v>2000</v>
      </c>
      <c r="J193" s="7">
        <f t="shared" si="9"/>
        <v>2023</v>
      </c>
      <c r="K193" s="7" t="str">
        <f t="shared" si="10"/>
        <v>April</v>
      </c>
      <c r="L193" s="7" t="str">
        <f t="shared" si="11"/>
        <v>Q2</v>
      </c>
      <c r="M193" s="7" t="s">
        <v>305</v>
      </c>
      <c r="N193" s="7" t="s">
        <v>305</v>
      </c>
      <c r="O193" s="7" t="s">
        <v>305</v>
      </c>
    </row>
    <row r="194" spans="1:15" x14ac:dyDescent="0.35">
      <c r="A194" s="7">
        <v>194</v>
      </c>
      <c r="B194" s="8">
        <v>45222</v>
      </c>
      <c r="C194" s="7" t="s">
        <v>46</v>
      </c>
      <c r="D194" s="7" t="s">
        <v>59</v>
      </c>
      <c r="E194" s="7" t="s">
        <v>64</v>
      </c>
      <c r="F194" s="7" t="s">
        <v>67</v>
      </c>
      <c r="G194" s="7">
        <v>4</v>
      </c>
      <c r="H194" s="7">
        <v>5000</v>
      </c>
      <c r="I194" s="7">
        <f t="shared" si="8"/>
        <v>20000</v>
      </c>
      <c r="J194" s="7">
        <f t="shared" si="9"/>
        <v>2023</v>
      </c>
      <c r="K194" s="7" t="str">
        <f t="shared" si="10"/>
        <v>October</v>
      </c>
      <c r="L194" s="7" t="str">
        <f t="shared" si="11"/>
        <v>Q4</v>
      </c>
      <c r="M194" s="7" t="s">
        <v>305</v>
      </c>
      <c r="N194" s="7" t="s">
        <v>305</v>
      </c>
      <c r="O194" s="7" t="s">
        <v>305</v>
      </c>
    </row>
    <row r="195" spans="1:15" x14ac:dyDescent="0.35">
      <c r="A195" s="7">
        <v>195</v>
      </c>
      <c r="B195" s="8">
        <v>45268</v>
      </c>
      <c r="C195" s="7" t="s">
        <v>73</v>
      </c>
      <c r="D195" s="7" t="s">
        <v>72</v>
      </c>
      <c r="E195" s="7" t="s">
        <v>62</v>
      </c>
      <c r="F195" s="7" t="s">
        <v>68</v>
      </c>
      <c r="G195" s="7">
        <v>2</v>
      </c>
      <c r="H195" s="7">
        <v>5000</v>
      </c>
      <c r="I195" s="7">
        <f t="shared" ref="I195:I250" si="12">G195*H195</f>
        <v>10000</v>
      </c>
      <c r="J195" s="7">
        <f t="shared" ref="J195:J250" si="13">IF(B195="","Unknown",YEAR(B195))</f>
        <v>2023</v>
      </c>
      <c r="K195" s="7" t="str">
        <f t="shared" ref="K195:K250" si="14">IF(B195="","Unknown",TEXT(B195,"mmmm"))</f>
        <v>December</v>
      </c>
      <c r="L195" s="7" t="str">
        <f t="shared" ref="L195:L250" si="15">IF(B195="","Unknown","Q"&amp;ROUNDUP(MONTH(B195)/3,0))</f>
        <v>Q4</v>
      </c>
      <c r="M195" s="7" t="s">
        <v>305</v>
      </c>
      <c r="N195" s="7" t="s">
        <v>305</v>
      </c>
      <c r="O195" s="7" t="s">
        <v>305</v>
      </c>
    </row>
    <row r="196" spans="1:15" x14ac:dyDescent="0.35">
      <c r="A196" s="7">
        <v>196</v>
      </c>
      <c r="B196" s="8">
        <v>44994</v>
      </c>
      <c r="C196" s="7" t="s">
        <v>24</v>
      </c>
      <c r="D196" s="7" t="s">
        <v>60</v>
      </c>
      <c r="E196" s="7" t="s">
        <v>65</v>
      </c>
      <c r="F196" s="7" t="s">
        <v>67</v>
      </c>
      <c r="G196" s="7">
        <v>1</v>
      </c>
      <c r="H196" s="7">
        <v>20000</v>
      </c>
      <c r="I196" s="7">
        <f t="shared" si="12"/>
        <v>20000</v>
      </c>
      <c r="J196" s="7">
        <f t="shared" si="13"/>
        <v>2023</v>
      </c>
      <c r="K196" s="7" t="str">
        <f t="shared" si="14"/>
        <v>March</v>
      </c>
      <c r="L196" s="7" t="str">
        <f t="shared" si="15"/>
        <v>Q1</v>
      </c>
      <c r="M196" s="7" t="s">
        <v>305</v>
      </c>
      <c r="N196" s="7" t="s">
        <v>305</v>
      </c>
      <c r="O196" s="7" t="s">
        <v>305</v>
      </c>
    </row>
    <row r="197" spans="1:15" x14ac:dyDescent="0.35">
      <c r="A197" s="7">
        <v>197</v>
      </c>
      <c r="B197" s="8">
        <v>44981</v>
      </c>
      <c r="C197" s="7" t="s">
        <v>10</v>
      </c>
      <c r="D197" s="7" t="s">
        <v>72</v>
      </c>
      <c r="E197" s="7" t="s">
        <v>66</v>
      </c>
      <c r="F197" s="7" t="s">
        <v>67</v>
      </c>
      <c r="G197" s="7">
        <v>2</v>
      </c>
      <c r="H197" s="7">
        <v>10000</v>
      </c>
      <c r="I197" s="7">
        <f t="shared" si="12"/>
        <v>20000</v>
      </c>
      <c r="J197" s="7">
        <f t="shared" si="13"/>
        <v>2023</v>
      </c>
      <c r="K197" s="7" t="str">
        <f t="shared" si="14"/>
        <v>February</v>
      </c>
      <c r="L197" s="7" t="str">
        <f t="shared" si="15"/>
        <v>Q1</v>
      </c>
      <c r="M197" s="7" t="s">
        <v>305</v>
      </c>
      <c r="N197" s="7" t="s">
        <v>305</v>
      </c>
      <c r="O197" s="7" t="s">
        <v>306</v>
      </c>
    </row>
    <row r="198" spans="1:15" x14ac:dyDescent="0.35">
      <c r="A198" s="7">
        <v>198</v>
      </c>
      <c r="B198" s="8">
        <v>44966</v>
      </c>
      <c r="C198" s="7" t="s">
        <v>23</v>
      </c>
      <c r="D198" s="7" t="s">
        <v>60</v>
      </c>
      <c r="E198" s="7" t="s">
        <v>65</v>
      </c>
      <c r="F198" s="7" t="s">
        <v>67</v>
      </c>
      <c r="G198" s="7">
        <v>3</v>
      </c>
      <c r="H198" s="7">
        <v>30000</v>
      </c>
      <c r="I198" s="7">
        <f t="shared" si="12"/>
        <v>90000</v>
      </c>
      <c r="J198" s="7">
        <f t="shared" si="13"/>
        <v>2023</v>
      </c>
      <c r="K198" s="7" t="str">
        <f t="shared" si="14"/>
        <v>February</v>
      </c>
      <c r="L198" s="7" t="str">
        <f t="shared" si="15"/>
        <v>Q1</v>
      </c>
      <c r="M198" s="7" t="s">
        <v>305</v>
      </c>
      <c r="N198" s="7" t="s">
        <v>305</v>
      </c>
      <c r="O198" s="7" t="s">
        <v>305</v>
      </c>
    </row>
    <row r="199" spans="1:15" x14ac:dyDescent="0.35">
      <c r="A199" s="7">
        <v>199</v>
      </c>
      <c r="B199" s="8">
        <v>45078</v>
      </c>
      <c r="C199" s="7" t="s">
        <v>12</v>
      </c>
      <c r="D199" s="7" t="s">
        <v>72</v>
      </c>
      <c r="E199" s="7" t="s">
        <v>65</v>
      </c>
      <c r="F199" s="7" t="s">
        <v>68</v>
      </c>
      <c r="G199" s="7">
        <v>3</v>
      </c>
      <c r="H199" s="7">
        <v>10000</v>
      </c>
      <c r="I199" s="7">
        <f t="shared" si="12"/>
        <v>30000</v>
      </c>
      <c r="J199" s="7">
        <f t="shared" si="13"/>
        <v>2023</v>
      </c>
      <c r="K199" s="7" t="str">
        <f t="shared" si="14"/>
        <v>June</v>
      </c>
      <c r="L199" s="7" t="str">
        <f t="shared" si="15"/>
        <v>Q2</v>
      </c>
      <c r="M199" s="7" t="s">
        <v>305</v>
      </c>
      <c r="N199" s="7" t="s">
        <v>306</v>
      </c>
      <c r="O199" s="7" t="s">
        <v>306</v>
      </c>
    </row>
    <row r="200" spans="1:15" x14ac:dyDescent="0.35">
      <c r="A200" s="7">
        <v>200</v>
      </c>
      <c r="B200" s="8">
        <v>44932</v>
      </c>
      <c r="C200" s="7" t="s">
        <v>29</v>
      </c>
      <c r="D200" s="7" t="s">
        <v>61</v>
      </c>
      <c r="E200" s="7" t="s">
        <v>65</v>
      </c>
      <c r="F200" s="7" t="s">
        <v>67</v>
      </c>
      <c r="G200" s="7">
        <v>3</v>
      </c>
      <c r="H200" s="7">
        <v>20000</v>
      </c>
      <c r="I200" s="7">
        <f t="shared" si="12"/>
        <v>60000</v>
      </c>
      <c r="J200" s="7">
        <f t="shared" si="13"/>
        <v>2023</v>
      </c>
      <c r="K200" s="7" t="str">
        <f t="shared" si="14"/>
        <v>January</v>
      </c>
      <c r="L200" s="7" t="str">
        <f t="shared" si="15"/>
        <v>Q1</v>
      </c>
      <c r="M200" s="7" t="s">
        <v>308</v>
      </c>
      <c r="N200" s="7" t="s">
        <v>305</v>
      </c>
      <c r="O200" s="7" t="s">
        <v>305</v>
      </c>
    </row>
    <row r="201" spans="1:15" x14ac:dyDescent="0.35">
      <c r="A201" s="7">
        <v>201</v>
      </c>
      <c r="B201" s="8">
        <v>45125</v>
      </c>
      <c r="C201" s="7" t="s">
        <v>17</v>
      </c>
      <c r="D201" s="7" t="s">
        <v>59</v>
      </c>
      <c r="E201" s="7" t="s">
        <v>75</v>
      </c>
      <c r="F201" s="7" t="s">
        <v>76</v>
      </c>
      <c r="G201" s="7">
        <v>3</v>
      </c>
      <c r="H201" s="9">
        <v>10000</v>
      </c>
      <c r="I201" s="7">
        <f t="shared" si="12"/>
        <v>30000</v>
      </c>
      <c r="J201" s="7">
        <f t="shared" si="13"/>
        <v>2023</v>
      </c>
      <c r="K201" s="7" t="str">
        <f t="shared" si="14"/>
        <v>July</v>
      </c>
      <c r="L201" s="7" t="str">
        <f t="shared" si="15"/>
        <v>Q3</v>
      </c>
      <c r="M201" s="7" t="s">
        <v>299</v>
      </c>
      <c r="N201" s="7" t="s">
        <v>306</v>
      </c>
      <c r="O201" s="7" t="s">
        <v>305</v>
      </c>
    </row>
    <row r="202" spans="1:15" x14ac:dyDescent="0.35">
      <c r="A202" s="7">
        <v>202</v>
      </c>
      <c r="B202" s="8">
        <v>45137</v>
      </c>
      <c r="C202" s="7" t="s">
        <v>16</v>
      </c>
      <c r="D202" s="7" t="s">
        <v>59</v>
      </c>
      <c r="E202" s="7" t="s">
        <v>66</v>
      </c>
      <c r="F202" s="7" t="s">
        <v>67</v>
      </c>
      <c r="G202" s="7">
        <v>3</v>
      </c>
      <c r="H202" s="7">
        <v>1000</v>
      </c>
      <c r="I202" s="7">
        <f t="shared" si="12"/>
        <v>3000</v>
      </c>
      <c r="J202" s="7">
        <f t="shared" si="13"/>
        <v>2023</v>
      </c>
      <c r="K202" s="7" t="str">
        <f t="shared" si="14"/>
        <v>July</v>
      </c>
      <c r="L202" s="7" t="str">
        <f t="shared" si="15"/>
        <v>Q3</v>
      </c>
      <c r="M202" s="7" t="s">
        <v>305</v>
      </c>
      <c r="N202" s="7" t="s">
        <v>306</v>
      </c>
      <c r="O202" s="7" t="s">
        <v>305</v>
      </c>
    </row>
    <row r="203" spans="1:15" x14ac:dyDescent="0.35">
      <c r="A203" s="7">
        <v>203</v>
      </c>
      <c r="B203" s="8">
        <v>45287</v>
      </c>
      <c r="C203" s="7" t="s">
        <v>73</v>
      </c>
      <c r="D203" s="7" t="s">
        <v>72</v>
      </c>
      <c r="E203" s="7" t="s">
        <v>63</v>
      </c>
      <c r="F203" s="7" t="s">
        <v>68</v>
      </c>
      <c r="G203" s="7">
        <v>2</v>
      </c>
      <c r="H203" s="7">
        <v>1000</v>
      </c>
      <c r="I203" s="7">
        <f t="shared" si="12"/>
        <v>2000</v>
      </c>
      <c r="J203" s="7">
        <f t="shared" si="13"/>
        <v>2023</v>
      </c>
      <c r="K203" s="7" t="str">
        <f t="shared" si="14"/>
        <v>December</v>
      </c>
      <c r="L203" s="7" t="str">
        <f t="shared" si="15"/>
        <v>Q4</v>
      </c>
      <c r="M203" s="7" t="s">
        <v>305</v>
      </c>
      <c r="N203" s="7" t="s">
        <v>305</v>
      </c>
      <c r="O203" s="7" t="s">
        <v>305</v>
      </c>
    </row>
    <row r="204" spans="1:15" x14ac:dyDescent="0.35">
      <c r="A204" s="7">
        <v>204</v>
      </c>
      <c r="B204" s="8">
        <v>45087</v>
      </c>
      <c r="C204" s="7" t="s">
        <v>13</v>
      </c>
      <c r="D204" s="7" t="s">
        <v>72</v>
      </c>
      <c r="E204" s="7" t="s">
        <v>62</v>
      </c>
      <c r="F204" s="7" t="s">
        <v>68</v>
      </c>
      <c r="G204" s="7">
        <v>1</v>
      </c>
      <c r="H204" s="9">
        <v>10000</v>
      </c>
      <c r="I204" s="7">
        <f t="shared" si="12"/>
        <v>10000</v>
      </c>
      <c r="J204" s="7">
        <f t="shared" si="13"/>
        <v>2023</v>
      </c>
      <c r="K204" s="7" t="str">
        <f t="shared" si="14"/>
        <v>June</v>
      </c>
      <c r="L204" s="7" t="str">
        <f t="shared" si="15"/>
        <v>Q2</v>
      </c>
      <c r="M204" s="7" t="s">
        <v>308</v>
      </c>
      <c r="N204" s="7" t="s">
        <v>305</v>
      </c>
      <c r="O204" s="7" t="s">
        <v>305</v>
      </c>
    </row>
    <row r="205" spans="1:15" x14ac:dyDescent="0.35">
      <c r="A205" s="7">
        <v>205</v>
      </c>
      <c r="B205" s="8">
        <v>45290</v>
      </c>
      <c r="C205" s="7" t="s">
        <v>57</v>
      </c>
      <c r="D205" s="7" t="s">
        <v>72</v>
      </c>
      <c r="E205" s="7" t="s">
        <v>63</v>
      </c>
      <c r="F205" s="7" t="s">
        <v>68</v>
      </c>
      <c r="G205" s="7">
        <v>5</v>
      </c>
      <c r="H205" s="7">
        <v>10000</v>
      </c>
      <c r="I205" s="7">
        <f t="shared" si="12"/>
        <v>50000</v>
      </c>
      <c r="J205" s="7">
        <f t="shared" si="13"/>
        <v>2023</v>
      </c>
      <c r="K205" s="7" t="str">
        <f t="shared" si="14"/>
        <v>December</v>
      </c>
      <c r="L205" s="7" t="str">
        <f t="shared" si="15"/>
        <v>Q4</v>
      </c>
      <c r="M205" s="7" t="s">
        <v>305</v>
      </c>
      <c r="N205" s="7" t="s">
        <v>305</v>
      </c>
      <c r="O205" s="7" t="s">
        <v>306</v>
      </c>
    </row>
    <row r="206" spans="1:15" x14ac:dyDescent="0.35">
      <c r="A206" s="7">
        <v>206</v>
      </c>
      <c r="B206" s="8">
        <v>44951</v>
      </c>
      <c r="C206" s="7" t="s">
        <v>52</v>
      </c>
      <c r="D206" s="7" t="s">
        <v>60</v>
      </c>
      <c r="E206" s="7" t="s">
        <v>62</v>
      </c>
      <c r="F206" s="7" t="s">
        <v>68</v>
      </c>
      <c r="G206" s="7">
        <v>1</v>
      </c>
      <c r="H206" s="7">
        <v>30000</v>
      </c>
      <c r="I206" s="7">
        <f t="shared" si="12"/>
        <v>30000</v>
      </c>
      <c r="J206" s="7">
        <f t="shared" si="13"/>
        <v>2023</v>
      </c>
      <c r="K206" s="7" t="str">
        <f t="shared" si="14"/>
        <v>January</v>
      </c>
      <c r="L206" s="7" t="str">
        <f t="shared" si="15"/>
        <v>Q1</v>
      </c>
      <c r="M206" s="7" t="s">
        <v>308</v>
      </c>
      <c r="N206" s="7" t="s">
        <v>305</v>
      </c>
      <c r="O206" s="7" t="s">
        <v>305</v>
      </c>
    </row>
    <row r="207" spans="1:15" x14ac:dyDescent="0.35">
      <c r="A207" s="7">
        <v>207</v>
      </c>
      <c r="B207" s="8">
        <v>45143</v>
      </c>
      <c r="C207" s="7" t="s">
        <v>22</v>
      </c>
      <c r="D207" s="7" t="s">
        <v>60</v>
      </c>
      <c r="E207" s="7" t="s">
        <v>64</v>
      </c>
      <c r="F207" s="7" t="s">
        <v>67</v>
      </c>
      <c r="G207" s="7">
        <v>3</v>
      </c>
      <c r="H207" s="7">
        <v>10000</v>
      </c>
      <c r="I207" s="7">
        <f t="shared" si="12"/>
        <v>30000</v>
      </c>
      <c r="J207" s="7">
        <f t="shared" si="13"/>
        <v>2023</v>
      </c>
      <c r="K207" s="7" t="str">
        <f t="shared" si="14"/>
        <v>August</v>
      </c>
      <c r="L207" s="7" t="str">
        <f t="shared" si="15"/>
        <v>Q3</v>
      </c>
      <c r="M207" s="7" t="s">
        <v>308</v>
      </c>
      <c r="N207" s="7" t="s">
        <v>305</v>
      </c>
      <c r="O207" s="7" t="s">
        <v>306</v>
      </c>
    </row>
    <row r="208" spans="1:15" x14ac:dyDescent="0.35">
      <c r="A208" s="7">
        <v>208</v>
      </c>
      <c r="B208" s="8">
        <v>45089</v>
      </c>
      <c r="C208" s="7" t="s">
        <v>73</v>
      </c>
      <c r="D208" s="7" t="s">
        <v>59</v>
      </c>
      <c r="E208" s="7" t="s">
        <v>65</v>
      </c>
      <c r="F208" s="7" t="s">
        <v>67</v>
      </c>
      <c r="G208" s="7">
        <v>4</v>
      </c>
      <c r="H208" s="7">
        <v>10000</v>
      </c>
      <c r="I208" s="7">
        <f t="shared" si="12"/>
        <v>40000</v>
      </c>
      <c r="J208" s="7">
        <f t="shared" si="13"/>
        <v>2023</v>
      </c>
      <c r="K208" s="7" t="str">
        <f t="shared" si="14"/>
        <v>June</v>
      </c>
      <c r="L208" s="7" t="str">
        <f t="shared" si="15"/>
        <v>Q2</v>
      </c>
      <c r="M208" s="7" t="s">
        <v>305</v>
      </c>
      <c r="N208" s="7" t="s">
        <v>305</v>
      </c>
      <c r="O208" s="7" t="s">
        <v>306</v>
      </c>
    </row>
    <row r="209" spans="1:15" x14ac:dyDescent="0.35">
      <c r="A209" s="7">
        <v>209</v>
      </c>
      <c r="B209" s="8">
        <v>44940</v>
      </c>
      <c r="C209" s="7" t="s">
        <v>23</v>
      </c>
      <c r="D209" s="7" t="s">
        <v>60</v>
      </c>
      <c r="E209" s="7" t="s">
        <v>65</v>
      </c>
      <c r="F209" s="7" t="s">
        <v>68</v>
      </c>
      <c r="G209" s="7">
        <v>4</v>
      </c>
      <c r="H209" s="7">
        <v>10000</v>
      </c>
      <c r="I209" s="7">
        <f t="shared" si="12"/>
        <v>40000</v>
      </c>
      <c r="J209" s="7">
        <f t="shared" si="13"/>
        <v>2023</v>
      </c>
      <c r="K209" s="7" t="str">
        <f t="shared" si="14"/>
        <v>January</v>
      </c>
      <c r="L209" s="7" t="str">
        <f t="shared" si="15"/>
        <v>Q1</v>
      </c>
      <c r="M209" s="7" t="s">
        <v>305</v>
      </c>
      <c r="N209" s="7" t="s">
        <v>305</v>
      </c>
      <c r="O209" s="7" t="s">
        <v>306</v>
      </c>
    </row>
    <row r="210" spans="1:15" x14ac:dyDescent="0.35">
      <c r="A210" s="7">
        <v>210</v>
      </c>
      <c r="B210" s="8">
        <v>44982</v>
      </c>
      <c r="C210" s="7" t="s">
        <v>46</v>
      </c>
      <c r="D210" s="7" t="s">
        <v>59</v>
      </c>
      <c r="E210" s="7" t="s">
        <v>62</v>
      </c>
      <c r="F210" s="7" t="s">
        <v>68</v>
      </c>
      <c r="G210" s="7">
        <v>2</v>
      </c>
      <c r="H210" s="9">
        <v>10000</v>
      </c>
      <c r="I210" s="7">
        <f t="shared" si="12"/>
        <v>20000</v>
      </c>
      <c r="J210" s="7">
        <f t="shared" si="13"/>
        <v>2023</v>
      </c>
      <c r="K210" s="7" t="str">
        <f t="shared" si="14"/>
        <v>February</v>
      </c>
      <c r="L210" s="7" t="str">
        <f t="shared" si="15"/>
        <v>Q1</v>
      </c>
      <c r="M210" s="7" t="s">
        <v>305</v>
      </c>
      <c r="N210" s="7" t="s">
        <v>305</v>
      </c>
      <c r="O210" s="7" t="s">
        <v>305</v>
      </c>
    </row>
    <row r="211" spans="1:15" x14ac:dyDescent="0.35">
      <c r="A211" s="7">
        <v>211</v>
      </c>
      <c r="B211" s="8">
        <v>45096</v>
      </c>
      <c r="C211" s="7" t="s">
        <v>57</v>
      </c>
      <c r="D211" s="7" t="s">
        <v>72</v>
      </c>
      <c r="E211" s="7" t="s">
        <v>75</v>
      </c>
      <c r="F211" s="7" t="s">
        <v>67</v>
      </c>
      <c r="G211" s="7">
        <v>3</v>
      </c>
      <c r="H211" s="7">
        <v>30000</v>
      </c>
      <c r="I211" s="7">
        <f t="shared" si="12"/>
        <v>90000</v>
      </c>
      <c r="J211" s="7">
        <f t="shared" si="13"/>
        <v>2023</v>
      </c>
      <c r="K211" s="7" t="str">
        <f t="shared" si="14"/>
        <v>June</v>
      </c>
      <c r="L211" s="7" t="str">
        <f t="shared" si="15"/>
        <v>Q2</v>
      </c>
      <c r="M211" s="7" t="s">
        <v>301</v>
      </c>
      <c r="N211" s="7" t="s">
        <v>306</v>
      </c>
      <c r="O211" s="7" t="s">
        <v>305</v>
      </c>
    </row>
    <row r="212" spans="1:15" x14ac:dyDescent="0.35">
      <c r="A212" s="7">
        <v>212</v>
      </c>
      <c r="B212" s="8">
        <v>45218</v>
      </c>
      <c r="C212" s="7" t="s">
        <v>48</v>
      </c>
      <c r="D212" s="7" t="s">
        <v>61</v>
      </c>
      <c r="E212" s="7" t="s">
        <v>62</v>
      </c>
      <c r="F212" s="7" t="s">
        <v>68</v>
      </c>
      <c r="G212" s="7">
        <v>1</v>
      </c>
      <c r="H212" s="7">
        <v>30000</v>
      </c>
      <c r="I212" s="7">
        <f t="shared" si="12"/>
        <v>30000</v>
      </c>
      <c r="J212" s="7">
        <f t="shared" si="13"/>
        <v>2023</v>
      </c>
      <c r="K212" s="7" t="str">
        <f t="shared" si="14"/>
        <v>October</v>
      </c>
      <c r="L212" s="7" t="str">
        <f t="shared" si="15"/>
        <v>Q4</v>
      </c>
      <c r="M212" s="7" t="s">
        <v>308</v>
      </c>
      <c r="N212" s="7" t="s">
        <v>305</v>
      </c>
      <c r="O212" s="7" t="s">
        <v>305</v>
      </c>
    </row>
    <row r="213" spans="1:15" x14ac:dyDescent="0.35">
      <c r="A213" s="7">
        <v>213</v>
      </c>
      <c r="B213" s="8">
        <v>45077</v>
      </c>
      <c r="C213" s="7" t="s">
        <v>22</v>
      </c>
      <c r="D213" s="7" t="s">
        <v>59</v>
      </c>
      <c r="E213" s="7" t="s">
        <v>75</v>
      </c>
      <c r="F213" s="7" t="s">
        <v>67</v>
      </c>
      <c r="G213" s="7">
        <v>3</v>
      </c>
      <c r="H213" s="7">
        <v>10000</v>
      </c>
      <c r="I213" s="7">
        <f t="shared" si="12"/>
        <v>30000</v>
      </c>
      <c r="J213" s="7">
        <f t="shared" si="13"/>
        <v>2023</v>
      </c>
      <c r="K213" s="7" t="str">
        <f t="shared" si="14"/>
        <v>May</v>
      </c>
      <c r="L213" s="7" t="str">
        <f t="shared" si="15"/>
        <v>Q2</v>
      </c>
      <c r="M213" s="7" t="s">
        <v>298</v>
      </c>
      <c r="N213" s="7" t="s">
        <v>305</v>
      </c>
      <c r="O213" s="7" t="s">
        <v>306</v>
      </c>
    </row>
    <row r="214" spans="1:15" x14ac:dyDescent="0.35">
      <c r="A214" s="7">
        <v>214</v>
      </c>
      <c r="B214" s="8">
        <v>45092</v>
      </c>
      <c r="C214" s="7" t="s">
        <v>13</v>
      </c>
      <c r="D214" s="7" t="s">
        <v>60</v>
      </c>
      <c r="E214" s="7" t="s">
        <v>63</v>
      </c>
      <c r="F214" s="7" t="s">
        <v>68</v>
      </c>
      <c r="G214" s="7">
        <v>1</v>
      </c>
      <c r="H214" s="7">
        <v>5000</v>
      </c>
      <c r="I214" s="7">
        <f t="shared" si="12"/>
        <v>5000</v>
      </c>
      <c r="J214" s="7">
        <f t="shared" si="13"/>
        <v>2023</v>
      </c>
      <c r="K214" s="7" t="str">
        <f t="shared" si="14"/>
        <v>June</v>
      </c>
      <c r="L214" s="7" t="str">
        <f t="shared" si="15"/>
        <v>Q2</v>
      </c>
      <c r="M214" s="7" t="s">
        <v>305</v>
      </c>
      <c r="N214" s="7" t="s">
        <v>305</v>
      </c>
      <c r="O214" s="7" t="s">
        <v>305</v>
      </c>
    </row>
    <row r="215" spans="1:15" x14ac:dyDescent="0.35">
      <c r="A215" s="7">
        <v>215</v>
      </c>
      <c r="B215" s="8">
        <v>45219</v>
      </c>
      <c r="C215" s="7" t="s">
        <v>39</v>
      </c>
      <c r="D215" s="7" t="s">
        <v>61</v>
      </c>
      <c r="E215" s="7" t="s">
        <v>62</v>
      </c>
      <c r="F215" s="7" t="s">
        <v>68</v>
      </c>
      <c r="G215" s="7">
        <v>2</v>
      </c>
      <c r="H215" s="9">
        <v>10000</v>
      </c>
      <c r="I215" s="7">
        <f t="shared" si="12"/>
        <v>20000</v>
      </c>
      <c r="J215" s="7">
        <f t="shared" si="13"/>
        <v>2023</v>
      </c>
      <c r="K215" s="7" t="str">
        <f t="shared" si="14"/>
        <v>October</v>
      </c>
      <c r="L215" s="7" t="str">
        <f t="shared" si="15"/>
        <v>Q4</v>
      </c>
      <c r="M215" s="7" t="s">
        <v>305</v>
      </c>
      <c r="N215" s="7" t="s">
        <v>305</v>
      </c>
      <c r="O215" s="7" t="s">
        <v>305</v>
      </c>
    </row>
    <row r="216" spans="1:15" x14ac:dyDescent="0.35">
      <c r="A216" s="7">
        <v>216</v>
      </c>
      <c r="B216" s="8">
        <v>45126</v>
      </c>
      <c r="C216" s="7" t="s">
        <v>47</v>
      </c>
      <c r="D216" s="7" t="s">
        <v>59</v>
      </c>
      <c r="E216" s="7" t="s">
        <v>75</v>
      </c>
      <c r="F216" s="7" t="s">
        <v>68</v>
      </c>
      <c r="G216" s="7">
        <v>1</v>
      </c>
      <c r="H216" s="7">
        <v>30000</v>
      </c>
      <c r="I216" s="7">
        <f t="shared" si="12"/>
        <v>30000</v>
      </c>
      <c r="J216" s="7">
        <f t="shared" si="13"/>
        <v>2023</v>
      </c>
      <c r="K216" s="7" t="str">
        <f t="shared" si="14"/>
        <v>July</v>
      </c>
      <c r="L216" s="7" t="str">
        <f t="shared" si="15"/>
        <v>Q3</v>
      </c>
      <c r="M216" s="7" t="s">
        <v>298</v>
      </c>
      <c r="N216" s="7" t="s">
        <v>305</v>
      </c>
      <c r="O216" s="7" t="s">
        <v>305</v>
      </c>
    </row>
    <row r="217" spans="1:15" x14ac:dyDescent="0.35">
      <c r="A217" s="7">
        <v>217</v>
      </c>
      <c r="B217" s="8">
        <v>44946</v>
      </c>
      <c r="C217" s="7" t="s">
        <v>56</v>
      </c>
      <c r="D217" s="7" t="s">
        <v>72</v>
      </c>
      <c r="E217" s="7" t="s">
        <v>63</v>
      </c>
      <c r="F217" s="7" t="s">
        <v>68</v>
      </c>
      <c r="G217" s="7">
        <v>3</v>
      </c>
      <c r="H217" s="7">
        <v>30000</v>
      </c>
      <c r="I217" s="7">
        <f t="shared" si="12"/>
        <v>90000</v>
      </c>
      <c r="J217" s="7">
        <f t="shared" si="13"/>
        <v>2023</v>
      </c>
      <c r="K217" s="7" t="str">
        <f t="shared" si="14"/>
        <v>January</v>
      </c>
      <c r="L217" s="7" t="str">
        <f t="shared" si="15"/>
        <v>Q1</v>
      </c>
      <c r="M217" s="7" t="s">
        <v>305</v>
      </c>
      <c r="N217" s="7" t="s">
        <v>306</v>
      </c>
      <c r="O217" s="7" t="s">
        <v>305</v>
      </c>
    </row>
    <row r="218" spans="1:15" x14ac:dyDescent="0.35">
      <c r="A218" s="7">
        <v>218</v>
      </c>
      <c r="B218" s="8">
        <v>45177</v>
      </c>
      <c r="C218" s="7" t="s">
        <v>10</v>
      </c>
      <c r="D218" s="7" t="s">
        <v>72</v>
      </c>
      <c r="E218" s="7" t="s">
        <v>62</v>
      </c>
      <c r="F218" s="7" t="s">
        <v>68</v>
      </c>
      <c r="G218" s="7">
        <v>3</v>
      </c>
      <c r="H218" s="7">
        <v>30000</v>
      </c>
      <c r="I218" s="7">
        <f t="shared" si="12"/>
        <v>90000</v>
      </c>
      <c r="J218" s="7">
        <f t="shared" si="13"/>
        <v>2023</v>
      </c>
      <c r="K218" s="7" t="str">
        <f t="shared" si="14"/>
        <v>September</v>
      </c>
      <c r="L218" s="7" t="str">
        <f t="shared" si="15"/>
        <v>Q3</v>
      </c>
      <c r="M218" s="7" t="s">
        <v>305</v>
      </c>
      <c r="N218" s="7" t="s">
        <v>306</v>
      </c>
      <c r="O218" s="7" t="s">
        <v>305</v>
      </c>
    </row>
    <row r="219" spans="1:15" x14ac:dyDescent="0.35">
      <c r="A219" s="7">
        <v>219</v>
      </c>
      <c r="B219" s="8">
        <v>45273</v>
      </c>
      <c r="C219" s="7" t="s">
        <v>33</v>
      </c>
      <c r="D219" s="7" t="s">
        <v>59</v>
      </c>
      <c r="E219" s="7" t="s">
        <v>64</v>
      </c>
      <c r="F219" s="7" t="s">
        <v>67</v>
      </c>
      <c r="G219" s="7">
        <v>2</v>
      </c>
      <c r="H219" s="7">
        <v>5000</v>
      </c>
      <c r="I219" s="7">
        <f t="shared" si="12"/>
        <v>10000</v>
      </c>
      <c r="J219" s="7">
        <f t="shared" si="13"/>
        <v>2023</v>
      </c>
      <c r="K219" s="7" t="str">
        <f t="shared" si="14"/>
        <v>December</v>
      </c>
      <c r="L219" s="7" t="str">
        <f t="shared" si="15"/>
        <v>Q4</v>
      </c>
      <c r="M219" s="7" t="s">
        <v>305</v>
      </c>
      <c r="N219" s="7" t="s">
        <v>305</v>
      </c>
      <c r="O219" s="7" t="s">
        <v>305</v>
      </c>
    </row>
    <row r="220" spans="1:15" x14ac:dyDescent="0.35">
      <c r="A220" s="7">
        <v>220</v>
      </c>
      <c r="B220" s="8">
        <v>45193</v>
      </c>
      <c r="C220" s="7" t="s">
        <v>57</v>
      </c>
      <c r="D220" s="7" t="s">
        <v>60</v>
      </c>
      <c r="E220" s="7" t="s">
        <v>65</v>
      </c>
      <c r="F220" s="7" t="s">
        <v>67</v>
      </c>
      <c r="G220" s="7">
        <v>5</v>
      </c>
      <c r="H220" s="7">
        <v>10000</v>
      </c>
      <c r="I220" s="7">
        <f t="shared" si="12"/>
        <v>50000</v>
      </c>
      <c r="J220" s="7">
        <f t="shared" si="13"/>
        <v>2023</v>
      </c>
      <c r="K220" s="7" t="str">
        <f t="shared" si="14"/>
        <v>September</v>
      </c>
      <c r="L220" s="7" t="str">
        <f t="shared" si="15"/>
        <v>Q3</v>
      </c>
      <c r="M220" s="7" t="s">
        <v>308</v>
      </c>
      <c r="N220" s="7" t="s">
        <v>305</v>
      </c>
      <c r="O220" s="7" t="s">
        <v>306</v>
      </c>
    </row>
    <row r="221" spans="1:15" x14ac:dyDescent="0.35">
      <c r="A221" s="7">
        <v>221</v>
      </c>
      <c r="B221" s="8">
        <v>45140</v>
      </c>
      <c r="C221" s="7" t="s">
        <v>73</v>
      </c>
      <c r="D221" s="7" t="s">
        <v>61</v>
      </c>
      <c r="E221" s="7" t="s">
        <v>63</v>
      </c>
      <c r="F221" s="7" t="s">
        <v>67</v>
      </c>
      <c r="G221" s="7">
        <v>3</v>
      </c>
      <c r="H221" s="7">
        <v>5000</v>
      </c>
      <c r="I221" s="7">
        <f t="shared" si="12"/>
        <v>15000</v>
      </c>
      <c r="J221" s="7">
        <f t="shared" si="13"/>
        <v>2023</v>
      </c>
      <c r="K221" s="7" t="str">
        <f t="shared" si="14"/>
        <v>August</v>
      </c>
      <c r="L221" s="7" t="str">
        <f t="shared" si="15"/>
        <v>Q3</v>
      </c>
      <c r="M221" s="7" t="s">
        <v>308</v>
      </c>
      <c r="N221" s="7" t="s">
        <v>305</v>
      </c>
      <c r="O221" s="7" t="s">
        <v>305</v>
      </c>
    </row>
    <row r="222" spans="1:15" x14ac:dyDescent="0.35">
      <c r="A222" s="7">
        <v>222</v>
      </c>
      <c r="B222" s="8">
        <v>45035</v>
      </c>
      <c r="C222" s="7" t="s">
        <v>20</v>
      </c>
      <c r="D222" s="7" t="s">
        <v>60</v>
      </c>
      <c r="E222" s="7" t="s">
        <v>64</v>
      </c>
      <c r="F222" s="7" t="s">
        <v>67</v>
      </c>
      <c r="G222" s="7">
        <v>3</v>
      </c>
      <c r="H222" s="7">
        <v>30000</v>
      </c>
      <c r="I222" s="7">
        <f t="shared" si="12"/>
        <v>90000</v>
      </c>
      <c r="J222" s="7">
        <f t="shared" si="13"/>
        <v>2023</v>
      </c>
      <c r="K222" s="7" t="str">
        <f t="shared" si="14"/>
        <v>April</v>
      </c>
      <c r="L222" s="7" t="str">
        <f t="shared" si="15"/>
        <v>Q2</v>
      </c>
      <c r="M222" s="7" t="s">
        <v>305</v>
      </c>
      <c r="N222" s="7" t="s">
        <v>306</v>
      </c>
      <c r="O222" s="7" t="s">
        <v>305</v>
      </c>
    </row>
    <row r="223" spans="1:15" x14ac:dyDescent="0.35">
      <c r="A223" s="7">
        <v>223</v>
      </c>
      <c r="B223" s="8">
        <v>45255</v>
      </c>
      <c r="C223" s="7" t="s">
        <v>48</v>
      </c>
      <c r="D223" s="7" t="s">
        <v>72</v>
      </c>
      <c r="E223" s="7" t="s">
        <v>75</v>
      </c>
      <c r="F223" s="7" t="s">
        <v>76</v>
      </c>
      <c r="G223" s="7">
        <v>3</v>
      </c>
      <c r="H223" s="7">
        <v>10000</v>
      </c>
      <c r="I223" s="7">
        <f t="shared" si="12"/>
        <v>30000</v>
      </c>
      <c r="J223" s="7">
        <f t="shared" si="13"/>
        <v>2023</v>
      </c>
      <c r="K223" s="7" t="str">
        <f t="shared" si="14"/>
        <v>November</v>
      </c>
      <c r="L223" s="7" t="str">
        <f t="shared" si="15"/>
        <v>Q4</v>
      </c>
      <c r="M223" s="7" t="s">
        <v>299</v>
      </c>
      <c r="N223" s="7" t="s">
        <v>306</v>
      </c>
      <c r="O223" s="7" t="s">
        <v>306</v>
      </c>
    </row>
    <row r="224" spans="1:15" x14ac:dyDescent="0.35">
      <c r="A224" s="7">
        <v>224</v>
      </c>
      <c r="B224" s="8">
        <v>45266</v>
      </c>
      <c r="C224" s="7" t="s">
        <v>27</v>
      </c>
      <c r="D224" s="7" t="s">
        <v>72</v>
      </c>
      <c r="E224" s="7" t="s">
        <v>66</v>
      </c>
      <c r="F224" s="7" t="s">
        <v>67</v>
      </c>
      <c r="G224" s="7">
        <v>2</v>
      </c>
      <c r="H224" s="9">
        <v>10000</v>
      </c>
      <c r="I224" s="7">
        <f t="shared" si="12"/>
        <v>20000</v>
      </c>
      <c r="J224" s="7">
        <f t="shared" si="13"/>
        <v>2023</v>
      </c>
      <c r="K224" s="7" t="str">
        <f t="shared" si="14"/>
        <v>December</v>
      </c>
      <c r="L224" s="7" t="str">
        <f t="shared" si="15"/>
        <v>Q4</v>
      </c>
      <c r="M224" s="7" t="s">
        <v>308</v>
      </c>
      <c r="N224" s="7" t="s">
        <v>305</v>
      </c>
      <c r="O224" s="7" t="s">
        <v>305</v>
      </c>
    </row>
    <row r="225" spans="1:15" x14ac:dyDescent="0.35">
      <c r="A225" s="7">
        <v>225</v>
      </c>
      <c r="B225" s="8">
        <v>45261</v>
      </c>
      <c r="C225" s="7" t="s">
        <v>57</v>
      </c>
      <c r="D225" s="7" t="s">
        <v>61</v>
      </c>
      <c r="E225" s="7" t="s">
        <v>62</v>
      </c>
      <c r="F225" s="7" t="s">
        <v>68</v>
      </c>
      <c r="G225" s="7">
        <v>5</v>
      </c>
      <c r="H225" s="7">
        <v>5000</v>
      </c>
      <c r="I225" s="7">
        <f t="shared" si="12"/>
        <v>25000</v>
      </c>
      <c r="J225" s="7">
        <f t="shared" si="13"/>
        <v>2023</v>
      </c>
      <c r="K225" s="7" t="str">
        <f t="shared" si="14"/>
        <v>December</v>
      </c>
      <c r="L225" s="7" t="str">
        <f t="shared" si="15"/>
        <v>Q4</v>
      </c>
      <c r="M225" s="7" t="s">
        <v>305</v>
      </c>
      <c r="N225" s="7" t="s">
        <v>305</v>
      </c>
      <c r="O225" s="7" t="s">
        <v>305</v>
      </c>
    </row>
    <row r="226" spans="1:15" x14ac:dyDescent="0.35">
      <c r="A226" s="7">
        <v>226</v>
      </c>
      <c r="B226" s="8">
        <v>45200</v>
      </c>
      <c r="C226" s="7" t="s">
        <v>48</v>
      </c>
      <c r="D226" s="7" t="s">
        <v>60</v>
      </c>
      <c r="E226" s="7" t="s">
        <v>65</v>
      </c>
      <c r="F226" s="7" t="s">
        <v>67</v>
      </c>
      <c r="G226" s="7">
        <v>2</v>
      </c>
      <c r="H226" s="7">
        <v>1000</v>
      </c>
      <c r="I226" s="7">
        <f t="shared" si="12"/>
        <v>2000</v>
      </c>
      <c r="J226" s="7">
        <f t="shared" si="13"/>
        <v>2023</v>
      </c>
      <c r="K226" s="7" t="str">
        <f t="shared" si="14"/>
        <v>October</v>
      </c>
      <c r="L226" s="7" t="str">
        <f t="shared" si="15"/>
        <v>Q4</v>
      </c>
      <c r="M226" s="7" t="s">
        <v>305</v>
      </c>
      <c r="N226" s="7" t="s">
        <v>305</v>
      </c>
      <c r="O226" s="7" t="s">
        <v>305</v>
      </c>
    </row>
    <row r="227" spans="1:15" x14ac:dyDescent="0.35">
      <c r="A227" s="7">
        <v>227</v>
      </c>
      <c r="B227" s="8">
        <v>45096</v>
      </c>
      <c r="C227" s="7" t="s">
        <v>41</v>
      </c>
      <c r="D227" s="7" t="s">
        <v>59</v>
      </c>
      <c r="E227" s="7" t="s">
        <v>63</v>
      </c>
      <c r="F227" s="7" t="s">
        <v>68</v>
      </c>
      <c r="G227" s="7">
        <v>3</v>
      </c>
      <c r="H227" s="7">
        <v>20000</v>
      </c>
      <c r="I227" s="7">
        <f t="shared" si="12"/>
        <v>60000</v>
      </c>
      <c r="J227" s="7">
        <f t="shared" si="13"/>
        <v>2023</v>
      </c>
      <c r="K227" s="7" t="str">
        <f t="shared" si="14"/>
        <v>June</v>
      </c>
      <c r="L227" s="7" t="str">
        <f t="shared" si="15"/>
        <v>Q2</v>
      </c>
      <c r="M227" s="7" t="s">
        <v>300</v>
      </c>
      <c r="N227" s="7" t="s">
        <v>305</v>
      </c>
      <c r="O227" s="7" t="s">
        <v>305</v>
      </c>
    </row>
    <row r="228" spans="1:15" x14ac:dyDescent="0.35">
      <c r="A228" s="7">
        <v>228</v>
      </c>
      <c r="B228" s="8">
        <v>45161</v>
      </c>
      <c r="C228" s="7" t="s">
        <v>42</v>
      </c>
      <c r="D228" s="7" t="s">
        <v>59</v>
      </c>
      <c r="E228" s="7" t="s">
        <v>62</v>
      </c>
      <c r="F228" s="7" t="s">
        <v>68</v>
      </c>
      <c r="G228" s="7">
        <v>3</v>
      </c>
      <c r="H228" s="7">
        <v>5000</v>
      </c>
      <c r="I228" s="7">
        <f t="shared" si="12"/>
        <v>15000</v>
      </c>
      <c r="J228" s="7">
        <f t="shared" si="13"/>
        <v>2023</v>
      </c>
      <c r="K228" s="7" t="str">
        <f t="shared" si="14"/>
        <v>August</v>
      </c>
      <c r="L228" s="7" t="str">
        <f t="shared" si="15"/>
        <v>Q3</v>
      </c>
      <c r="M228" s="7" t="s">
        <v>305</v>
      </c>
      <c r="N228" s="7" t="s">
        <v>306</v>
      </c>
      <c r="O228" s="7" t="s">
        <v>305</v>
      </c>
    </row>
    <row r="229" spans="1:15" x14ac:dyDescent="0.35">
      <c r="A229" s="7">
        <v>229</v>
      </c>
      <c r="B229" s="8">
        <v>45198</v>
      </c>
      <c r="C229" s="7" t="s">
        <v>40</v>
      </c>
      <c r="D229" s="7" t="s">
        <v>61</v>
      </c>
      <c r="E229" s="7" t="s">
        <v>64</v>
      </c>
      <c r="F229" s="7" t="s">
        <v>68</v>
      </c>
      <c r="G229" s="7">
        <v>1</v>
      </c>
      <c r="H229" s="7">
        <v>10000</v>
      </c>
      <c r="I229" s="7">
        <f t="shared" si="12"/>
        <v>10000</v>
      </c>
      <c r="J229" s="7">
        <f t="shared" si="13"/>
        <v>2023</v>
      </c>
      <c r="K229" s="7" t="str">
        <f t="shared" si="14"/>
        <v>September</v>
      </c>
      <c r="L229" s="7" t="str">
        <f t="shared" si="15"/>
        <v>Q3</v>
      </c>
      <c r="M229" s="7" t="s">
        <v>305</v>
      </c>
      <c r="N229" s="7" t="s">
        <v>305</v>
      </c>
      <c r="O229" s="7" t="s">
        <v>306</v>
      </c>
    </row>
    <row r="230" spans="1:15" x14ac:dyDescent="0.35">
      <c r="A230" s="7">
        <v>230</v>
      </c>
      <c r="B230" s="8">
        <v>45267</v>
      </c>
      <c r="C230" s="7" t="s">
        <v>39</v>
      </c>
      <c r="D230" s="7" t="s">
        <v>59</v>
      </c>
      <c r="E230" s="7" t="s">
        <v>65</v>
      </c>
      <c r="F230" s="7" t="s">
        <v>67</v>
      </c>
      <c r="G230" s="7">
        <v>3</v>
      </c>
      <c r="H230" s="7">
        <v>10000</v>
      </c>
      <c r="I230" s="7">
        <f t="shared" si="12"/>
        <v>30000</v>
      </c>
      <c r="J230" s="7">
        <f t="shared" si="13"/>
        <v>2023</v>
      </c>
      <c r="K230" s="7" t="str">
        <f t="shared" si="14"/>
        <v>December</v>
      </c>
      <c r="L230" s="7" t="str">
        <f t="shared" si="15"/>
        <v>Q4</v>
      </c>
      <c r="M230" s="7" t="s">
        <v>308</v>
      </c>
      <c r="N230" s="7" t="s">
        <v>306</v>
      </c>
      <c r="O230" s="7" t="s">
        <v>306</v>
      </c>
    </row>
    <row r="231" spans="1:15" x14ac:dyDescent="0.35">
      <c r="A231" s="7">
        <v>231</v>
      </c>
      <c r="B231" s="8">
        <v>45215</v>
      </c>
      <c r="C231" s="7" t="s">
        <v>22</v>
      </c>
      <c r="D231" s="7" t="s">
        <v>61</v>
      </c>
      <c r="E231" s="7" t="s">
        <v>75</v>
      </c>
      <c r="F231" s="7" t="s">
        <v>76</v>
      </c>
      <c r="G231" s="7">
        <v>5</v>
      </c>
      <c r="H231" s="7">
        <v>20000</v>
      </c>
      <c r="I231" s="7">
        <f t="shared" si="12"/>
        <v>100000</v>
      </c>
      <c r="J231" s="7">
        <f t="shared" si="13"/>
        <v>2023</v>
      </c>
      <c r="K231" s="7" t="str">
        <f t="shared" si="14"/>
        <v>October</v>
      </c>
      <c r="L231" s="7" t="str">
        <f t="shared" si="15"/>
        <v>Q4</v>
      </c>
      <c r="M231" s="7" t="s">
        <v>299</v>
      </c>
      <c r="N231" s="7" t="s">
        <v>305</v>
      </c>
      <c r="O231" s="7" t="s">
        <v>305</v>
      </c>
    </row>
    <row r="232" spans="1:15" x14ac:dyDescent="0.35">
      <c r="A232" s="7">
        <v>232</v>
      </c>
      <c r="B232" s="8">
        <v>45195</v>
      </c>
      <c r="C232" s="7" t="s">
        <v>31</v>
      </c>
      <c r="D232" s="7" t="s">
        <v>61</v>
      </c>
      <c r="E232" s="7" t="s">
        <v>63</v>
      </c>
      <c r="F232" s="7" t="s">
        <v>67</v>
      </c>
      <c r="G232" s="7">
        <v>2</v>
      </c>
      <c r="H232" s="9">
        <v>10000</v>
      </c>
      <c r="I232" s="7">
        <f t="shared" si="12"/>
        <v>20000</v>
      </c>
      <c r="J232" s="7">
        <f t="shared" si="13"/>
        <v>2023</v>
      </c>
      <c r="K232" s="7" t="str">
        <f t="shared" si="14"/>
        <v>September</v>
      </c>
      <c r="L232" s="7" t="str">
        <f t="shared" si="15"/>
        <v>Q3</v>
      </c>
      <c r="M232" s="7" t="s">
        <v>305</v>
      </c>
      <c r="N232" s="7" t="s">
        <v>305</v>
      </c>
      <c r="O232" s="7" t="s">
        <v>305</v>
      </c>
    </row>
    <row r="233" spans="1:15" x14ac:dyDescent="0.35">
      <c r="A233" s="7">
        <v>233</v>
      </c>
      <c r="B233" s="8">
        <v>45096</v>
      </c>
      <c r="C233" s="7" t="s">
        <v>53</v>
      </c>
      <c r="D233" s="7" t="s">
        <v>72</v>
      </c>
      <c r="E233" s="7" t="s">
        <v>66</v>
      </c>
      <c r="F233" s="7" t="s">
        <v>68</v>
      </c>
      <c r="G233" s="7">
        <v>2</v>
      </c>
      <c r="H233" s="7">
        <v>5000</v>
      </c>
      <c r="I233" s="7">
        <f t="shared" si="12"/>
        <v>10000</v>
      </c>
      <c r="J233" s="7">
        <f t="shared" si="13"/>
        <v>2023</v>
      </c>
      <c r="K233" s="7" t="str">
        <f t="shared" si="14"/>
        <v>June</v>
      </c>
      <c r="L233" s="7" t="str">
        <f t="shared" si="15"/>
        <v>Q2</v>
      </c>
      <c r="M233" s="7" t="s">
        <v>300</v>
      </c>
      <c r="N233" s="7" t="s">
        <v>305</v>
      </c>
      <c r="O233" s="7" t="s">
        <v>305</v>
      </c>
    </row>
    <row r="234" spans="1:15" x14ac:dyDescent="0.35">
      <c r="A234" s="7">
        <v>234</v>
      </c>
      <c r="B234" s="8">
        <v>45088</v>
      </c>
      <c r="C234" s="7" t="s">
        <v>46</v>
      </c>
      <c r="D234" s="7" t="s">
        <v>61</v>
      </c>
      <c r="E234" s="7" t="s">
        <v>64</v>
      </c>
      <c r="F234" s="7" t="s">
        <v>67</v>
      </c>
      <c r="G234" s="7">
        <v>3</v>
      </c>
      <c r="H234" s="7">
        <v>1000</v>
      </c>
      <c r="I234" s="7">
        <f t="shared" si="12"/>
        <v>3000</v>
      </c>
      <c r="J234" s="7">
        <f t="shared" si="13"/>
        <v>2023</v>
      </c>
      <c r="K234" s="7" t="str">
        <f t="shared" si="14"/>
        <v>June</v>
      </c>
      <c r="L234" s="7" t="str">
        <f t="shared" si="15"/>
        <v>Q2</v>
      </c>
      <c r="M234" s="7" t="s">
        <v>305</v>
      </c>
      <c r="N234" s="7" t="s">
        <v>306</v>
      </c>
      <c r="O234" s="7" t="s">
        <v>305</v>
      </c>
    </row>
    <row r="235" spans="1:15" x14ac:dyDescent="0.35">
      <c r="A235" s="7">
        <v>235</v>
      </c>
      <c r="B235" s="8">
        <v>45057</v>
      </c>
      <c r="C235" s="7" t="s">
        <v>17</v>
      </c>
      <c r="D235" s="7" t="s">
        <v>61</v>
      </c>
      <c r="E235" s="7" t="s">
        <v>62</v>
      </c>
      <c r="F235" s="7" t="s">
        <v>68</v>
      </c>
      <c r="G235" s="7">
        <v>3</v>
      </c>
      <c r="H235" s="7">
        <v>10000</v>
      </c>
      <c r="I235" s="7">
        <f t="shared" si="12"/>
        <v>30000</v>
      </c>
      <c r="J235" s="7">
        <f t="shared" si="13"/>
        <v>2023</v>
      </c>
      <c r="K235" s="7" t="str">
        <f t="shared" si="14"/>
        <v>May</v>
      </c>
      <c r="L235" s="7" t="str">
        <f t="shared" si="15"/>
        <v>Q2</v>
      </c>
      <c r="M235" s="7" t="s">
        <v>305</v>
      </c>
      <c r="N235" s="7" t="s">
        <v>305</v>
      </c>
      <c r="O235" s="7" t="s">
        <v>306</v>
      </c>
    </row>
    <row r="236" spans="1:15" x14ac:dyDescent="0.35">
      <c r="A236" s="7">
        <v>236</v>
      </c>
      <c r="B236" s="8">
        <v>45096</v>
      </c>
      <c r="C236" s="7" t="s">
        <v>23</v>
      </c>
      <c r="D236" s="7" t="s">
        <v>61</v>
      </c>
      <c r="E236" s="7" t="s">
        <v>75</v>
      </c>
      <c r="F236" s="7" t="s">
        <v>68</v>
      </c>
      <c r="G236" s="7">
        <v>5</v>
      </c>
      <c r="H236" s="7">
        <v>10000</v>
      </c>
      <c r="I236" s="7">
        <f t="shared" si="12"/>
        <v>50000</v>
      </c>
      <c r="J236" s="7">
        <f t="shared" si="13"/>
        <v>2023</v>
      </c>
      <c r="K236" s="7" t="str">
        <f t="shared" si="14"/>
        <v>June</v>
      </c>
      <c r="L236" s="7" t="str">
        <f t="shared" si="15"/>
        <v>Q2</v>
      </c>
      <c r="M236" s="7" t="s">
        <v>301</v>
      </c>
      <c r="N236" s="7" t="s">
        <v>305</v>
      </c>
      <c r="O236" s="7" t="s">
        <v>306</v>
      </c>
    </row>
    <row r="237" spans="1:15" x14ac:dyDescent="0.35">
      <c r="A237" s="7">
        <v>237</v>
      </c>
      <c r="B237" s="8">
        <v>45179</v>
      </c>
      <c r="C237" s="7" t="s">
        <v>16</v>
      </c>
      <c r="D237" s="7" t="s">
        <v>60</v>
      </c>
      <c r="E237" s="7" t="s">
        <v>62</v>
      </c>
      <c r="F237" s="7" t="s">
        <v>67</v>
      </c>
      <c r="G237" s="7">
        <v>2</v>
      </c>
      <c r="H237" s="7">
        <v>10000</v>
      </c>
      <c r="I237" s="7">
        <f t="shared" si="12"/>
        <v>20000</v>
      </c>
      <c r="J237" s="7">
        <f t="shared" si="13"/>
        <v>2023</v>
      </c>
      <c r="K237" s="7" t="str">
        <f t="shared" si="14"/>
        <v>September</v>
      </c>
      <c r="L237" s="7" t="str">
        <f t="shared" si="15"/>
        <v>Q3</v>
      </c>
      <c r="M237" s="7" t="s">
        <v>305</v>
      </c>
      <c r="N237" s="7" t="s">
        <v>305</v>
      </c>
      <c r="O237" s="7" t="s">
        <v>306</v>
      </c>
    </row>
    <row r="238" spans="1:15" x14ac:dyDescent="0.35">
      <c r="A238" s="7">
        <v>238</v>
      </c>
      <c r="B238" s="8">
        <v>45121</v>
      </c>
      <c r="C238" s="7" t="s">
        <v>31</v>
      </c>
      <c r="D238" s="7" t="s">
        <v>59</v>
      </c>
      <c r="E238" s="7" t="s">
        <v>63</v>
      </c>
      <c r="F238" s="7" t="s">
        <v>68</v>
      </c>
      <c r="G238" s="7">
        <v>5</v>
      </c>
      <c r="H238" s="9">
        <v>10000</v>
      </c>
      <c r="I238" s="7">
        <f t="shared" si="12"/>
        <v>50000</v>
      </c>
      <c r="J238" s="7">
        <f t="shared" si="13"/>
        <v>2023</v>
      </c>
      <c r="K238" s="7" t="str">
        <f t="shared" si="14"/>
        <v>July</v>
      </c>
      <c r="L238" s="7" t="str">
        <f t="shared" si="15"/>
        <v>Q3</v>
      </c>
      <c r="M238" s="7" t="s">
        <v>305</v>
      </c>
      <c r="N238" s="7" t="s">
        <v>305</v>
      </c>
      <c r="O238" s="7" t="s">
        <v>305</v>
      </c>
    </row>
    <row r="239" spans="1:15" x14ac:dyDescent="0.35">
      <c r="A239" s="7">
        <v>239</v>
      </c>
      <c r="B239" s="8">
        <v>45158</v>
      </c>
      <c r="C239" s="7" t="s">
        <v>21</v>
      </c>
      <c r="D239" s="7" t="s">
        <v>72</v>
      </c>
      <c r="E239" s="7" t="s">
        <v>66</v>
      </c>
      <c r="F239" s="7" t="s">
        <v>67</v>
      </c>
      <c r="G239" s="7">
        <v>3</v>
      </c>
      <c r="H239" s="9">
        <v>10000</v>
      </c>
      <c r="I239" s="7">
        <f t="shared" si="12"/>
        <v>30000</v>
      </c>
      <c r="J239" s="7">
        <f t="shared" si="13"/>
        <v>2023</v>
      </c>
      <c r="K239" s="7" t="str">
        <f t="shared" si="14"/>
        <v>August</v>
      </c>
      <c r="L239" s="7" t="str">
        <f t="shared" si="15"/>
        <v>Q3</v>
      </c>
      <c r="M239" s="7" t="s">
        <v>305</v>
      </c>
      <c r="N239" s="7" t="s">
        <v>306</v>
      </c>
      <c r="O239" s="7" t="s">
        <v>305</v>
      </c>
    </row>
    <row r="240" spans="1:15" x14ac:dyDescent="0.35">
      <c r="A240" s="7">
        <v>240</v>
      </c>
      <c r="B240" s="8">
        <v>45164</v>
      </c>
      <c r="C240" s="7" t="s">
        <v>12</v>
      </c>
      <c r="D240" s="7" t="s">
        <v>72</v>
      </c>
      <c r="E240" s="7" t="s">
        <v>64</v>
      </c>
      <c r="F240" s="7" t="s">
        <v>68</v>
      </c>
      <c r="G240" s="7">
        <v>3</v>
      </c>
      <c r="H240" s="7">
        <v>10000</v>
      </c>
      <c r="I240" s="7">
        <f t="shared" si="12"/>
        <v>30000</v>
      </c>
      <c r="J240" s="7">
        <f t="shared" si="13"/>
        <v>2023</v>
      </c>
      <c r="K240" s="7" t="str">
        <f t="shared" si="14"/>
        <v>August</v>
      </c>
      <c r="L240" s="7" t="str">
        <f t="shared" si="15"/>
        <v>Q3</v>
      </c>
      <c r="M240" s="7" t="s">
        <v>305</v>
      </c>
      <c r="N240" s="7" t="s">
        <v>306</v>
      </c>
      <c r="O240" s="7" t="s">
        <v>306</v>
      </c>
    </row>
    <row r="241" spans="1:15" x14ac:dyDescent="0.35">
      <c r="A241" s="7">
        <v>241</v>
      </c>
      <c r="B241" s="8">
        <v>45059</v>
      </c>
      <c r="C241" s="7" t="s">
        <v>10</v>
      </c>
      <c r="D241" s="7" t="s">
        <v>72</v>
      </c>
      <c r="E241" s="7" t="s">
        <v>64</v>
      </c>
      <c r="F241" s="7" t="s">
        <v>67</v>
      </c>
      <c r="G241" s="7">
        <v>3</v>
      </c>
      <c r="H241" s="9">
        <v>10000</v>
      </c>
      <c r="I241" s="7">
        <f t="shared" si="12"/>
        <v>30000</v>
      </c>
      <c r="J241" s="7">
        <f t="shared" si="13"/>
        <v>2023</v>
      </c>
      <c r="K241" s="7" t="str">
        <f t="shared" si="14"/>
        <v>May</v>
      </c>
      <c r="L241" s="7" t="str">
        <f t="shared" si="15"/>
        <v>Q2</v>
      </c>
      <c r="M241" s="7" t="s">
        <v>308</v>
      </c>
      <c r="N241" s="7" t="s">
        <v>306</v>
      </c>
      <c r="O241" s="7" t="s">
        <v>305</v>
      </c>
    </row>
    <row r="242" spans="1:15" x14ac:dyDescent="0.35">
      <c r="A242" s="7">
        <v>242</v>
      </c>
      <c r="B242" s="8">
        <v>45004</v>
      </c>
      <c r="C242" s="7" t="s">
        <v>16</v>
      </c>
      <c r="D242" s="7" t="s">
        <v>61</v>
      </c>
      <c r="E242" s="7" t="s">
        <v>75</v>
      </c>
      <c r="F242" s="7" t="s">
        <v>68</v>
      </c>
      <c r="G242" s="7">
        <v>1</v>
      </c>
      <c r="H242" s="7">
        <v>5000</v>
      </c>
      <c r="I242" s="7">
        <f t="shared" si="12"/>
        <v>5000</v>
      </c>
      <c r="J242" s="7">
        <f t="shared" si="13"/>
        <v>2023</v>
      </c>
      <c r="K242" s="7" t="str">
        <f t="shared" si="14"/>
        <v>March</v>
      </c>
      <c r="L242" s="7" t="str">
        <f t="shared" si="15"/>
        <v>Q1</v>
      </c>
      <c r="M242" s="7" t="s">
        <v>298</v>
      </c>
      <c r="N242" s="7" t="s">
        <v>305</v>
      </c>
      <c r="O242" s="7" t="s">
        <v>305</v>
      </c>
    </row>
    <row r="243" spans="1:15" x14ac:dyDescent="0.35">
      <c r="A243" s="7">
        <v>243</v>
      </c>
      <c r="B243" s="8">
        <v>45212</v>
      </c>
      <c r="C243" s="7" t="s">
        <v>55</v>
      </c>
      <c r="D243" s="7" t="s">
        <v>59</v>
      </c>
      <c r="E243" s="7" t="s">
        <v>66</v>
      </c>
      <c r="F243" s="7" t="s">
        <v>68</v>
      </c>
      <c r="G243" s="7">
        <v>3</v>
      </c>
      <c r="H243" s="7">
        <v>10000</v>
      </c>
      <c r="I243" s="7">
        <f t="shared" si="12"/>
        <v>30000</v>
      </c>
      <c r="J243" s="7">
        <f t="shared" si="13"/>
        <v>2023</v>
      </c>
      <c r="K243" s="7" t="str">
        <f t="shared" si="14"/>
        <v>October</v>
      </c>
      <c r="L243" s="7" t="str">
        <f t="shared" si="15"/>
        <v>Q4</v>
      </c>
      <c r="M243" s="7" t="s">
        <v>305</v>
      </c>
      <c r="N243" s="7" t="s">
        <v>306</v>
      </c>
      <c r="O243" s="7" t="s">
        <v>306</v>
      </c>
    </row>
    <row r="244" spans="1:15" x14ac:dyDescent="0.35">
      <c r="A244" s="7">
        <v>244</v>
      </c>
      <c r="B244" s="8">
        <v>44930</v>
      </c>
      <c r="C244" s="7" t="s">
        <v>43</v>
      </c>
      <c r="D244" s="7" t="s">
        <v>60</v>
      </c>
      <c r="E244" s="7" t="s">
        <v>65</v>
      </c>
      <c r="F244" s="7" t="s">
        <v>67</v>
      </c>
      <c r="G244" s="7">
        <v>1</v>
      </c>
      <c r="H244" s="7">
        <v>10000</v>
      </c>
      <c r="I244" s="7">
        <f t="shared" si="12"/>
        <v>10000</v>
      </c>
      <c r="J244" s="7">
        <f t="shared" si="13"/>
        <v>2023</v>
      </c>
      <c r="K244" s="7" t="str">
        <f t="shared" si="14"/>
        <v>January</v>
      </c>
      <c r="L244" s="7" t="str">
        <f t="shared" si="15"/>
        <v>Q1</v>
      </c>
      <c r="M244" s="7" t="s">
        <v>305</v>
      </c>
      <c r="N244" s="7" t="s">
        <v>305</v>
      </c>
      <c r="O244" s="7" t="s">
        <v>306</v>
      </c>
    </row>
    <row r="245" spans="1:15" x14ac:dyDescent="0.35">
      <c r="A245" s="7">
        <v>245</v>
      </c>
      <c r="B245" s="8">
        <v>45284</v>
      </c>
      <c r="C245" s="7" t="s">
        <v>73</v>
      </c>
      <c r="D245" s="7" t="s">
        <v>60</v>
      </c>
      <c r="E245" s="7" t="s">
        <v>63</v>
      </c>
      <c r="F245" s="7" t="s">
        <v>68</v>
      </c>
      <c r="G245" s="7">
        <v>2</v>
      </c>
      <c r="H245" s="7">
        <v>10000</v>
      </c>
      <c r="I245" s="7">
        <f t="shared" si="12"/>
        <v>20000</v>
      </c>
      <c r="J245" s="7">
        <f t="shared" si="13"/>
        <v>2023</v>
      </c>
      <c r="K245" s="7" t="str">
        <f t="shared" si="14"/>
        <v>December</v>
      </c>
      <c r="L245" s="7" t="str">
        <f t="shared" si="15"/>
        <v>Q4</v>
      </c>
      <c r="M245" s="7" t="s">
        <v>305</v>
      </c>
      <c r="N245" s="7" t="s">
        <v>305</v>
      </c>
      <c r="O245" s="7" t="s">
        <v>306</v>
      </c>
    </row>
    <row r="246" spans="1:15" x14ac:dyDescent="0.35">
      <c r="A246" s="7">
        <v>246</v>
      </c>
      <c r="B246" s="8">
        <v>44933</v>
      </c>
      <c r="C246" s="7" t="s">
        <v>40</v>
      </c>
      <c r="D246" s="7" t="s">
        <v>59</v>
      </c>
      <c r="E246" s="7" t="s">
        <v>63</v>
      </c>
      <c r="F246" s="7" t="s">
        <v>67</v>
      </c>
      <c r="G246" s="7">
        <v>2</v>
      </c>
      <c r="H246" s="9">
        <v>10000</v>
      </c>
      <c r="I246" s="7">
        <f t="shared" si="12"/>
        <v>20000</v>
      </c>
      <c r="J246" s="7">
        <f t="shared" si="13"/>
        <v>2023</v>
      </c>
      <c r="K246" s="7" t="str">
        <f t="shared" si="14"/>
        <v>January</v>
      </c>
      <c r="L246" s="7" t="str">
        <f t="shared" si="15"/>
        <v>Q1</v>
      </c>
      <c r="M246" s="7" t="s">
        <v>305</v>
      </c>
      <c r="N246" s="7" t="s">
        <v>305</v>
      </c>
      <c r="O246" s="7" t="s">
        <v>305</v>
      </c>
    </row>
    <row r="247" spans="1:15" x14ac:dyDescent="0.35">
      <c r="A247" s="7">
        <v>247</v>
      </c>
      <c r="B247" s="8">
        <v>45281</v>
      </c>
      <c r="C247" s="7" t="s">
        <v>73</v>
      </c>
      <c r="D247" s="7" t="s">
        <v>59</v>
      </c>
      <c r="E247" s="7" t="s">
        <v>65</v>
      </c>
      <c r="F247" s="7" t="s">
        <v>67</v>
      </c>
      <c r="G247" s="7">
        <v>2</v>
      </c>
      <c r="H247" s="7">
        <v>20000</v>
      </c>
      <c r="I247" s="7">
        <f t="shared" si="12"/>
        <v>40000</v>
      </c>
      <c r="J247" s="7">
        <f t="shared" si="13"/>
        <v>2023</v>
      </c>
      <c r="K247" s="7" t="str">
        <f t="shared" si="14"/>
        <v>December</v>
      </c>
      <c r="L247" s="7" t="str">
        <f t="shared" si="15"/>
        <v>Q4</v>
      </c>
      <c r="M247" s="7" t="s">
        <v>305</v>
      </c>
      <c r="N247" s="7" t="s">
        <v>305</v>
      </c>
      <c r="O247" s="7" t="s">
        <v>305</v>
      </c>
    </row>
    <row r="248" spans="1:15" x14ac:dyDescent="0.35">
      <c r="A248" s="7">
        <v>248</v>
      </c>
      <c r="B248" s="8">
        <v>45016</v>
      </c>
      <c r="C248" s="7" t="s">
        <v>33</v>
      </c>
      <c r="D248" s="7" t="s">
        <v>72</v>
      </c>
      <c r="E248" s="7" t="s">
        <v>63</v>
      </c>
      <c r="F248" s="7" t="s">
        <v>68</v>
      </c>
      <c r="G248" s="7">
        <v>1</v>
      </c>
      <c r="H248" s="7">
        <v>30000</v>
      </c>
      <c r="I248" s="7">
        <f t="shared" si="12"/>
        <v>30000</v>
      </c>
      <c r="J248" s="7">
        <f t="shared" si="13"/>
        <v>2023</v>
      </c>
      <c r="K248" s="7" t="str">
        <f t="shared" si="14"/>
        <v>March</v>
      </c>
      <c r="L248" s="7" t="str">
        <f t="shared" si="15"/>
        <v>Q1</v>
      </c>
      <c r="M248" s="7" t="s">
        <v>305</v>
      </c>
      <c r="N248" s="7" t="s">
        <v>305</v>
      </c>
      <c r="O248" s="7" t="s">
        <v>305</v>
      </c>
    </row>
    <row r="249" spans="1:15" x14ac:dyDescent="0.35">
      <c r="A249" s="7">
        <v>249</v>
      </c>
      <c r="B249" s="8">
        <v>45016</v>
      </c>
      <c r="C249" s="7" t="s">
        <v>41</v>
      </c>
      <c r="D249" s="7" t="s">
        <v>59</v>
      </c>
      <c r="E249" s="7" t="s">
        <v>75</v>
      </c>
      <c r="F249" s="7" t="s">
        <v>76</v>
      </c>
      <c r="G249" s="7">
        <v>2</v>
      </c>
      <c r="H249" s="7">
        <v>10000</v>
      </c>
      <c r="I249" s="7">
        <f t="shared" si="12"/>
        <v>20000</v>
      </c>
      <c r="J249" s="7">
        <f t="shared" si="13"/>
        <v>2023</v>
      </c>
      <c r="K249" s="7" t="str">
        <f t="shared" si="14"/>
        <v>March</v>
      </c>
      <c r="L249" s="7" t="str">
        <f t="shared" si="15"/>
        <v>Q1</v>
      </c>
      <c r="M249" s="7" t="s">
        <v>299</v>
      </c>
      <c r="N249" s="7" t="s">
        <v>305</v>
      </c>
      <c r="O249" s="7" t="s">
        <v>306</v>
      </c>
    </row>
    <row r="250" spans="1:15" x14ac:dyDescent="0.35">
      <c r="A250" s="7">
        <v>250</v>
      </c>
      <c r="B250" s="8">
        <v>45088</v>
      </c>
      <c r="C250" s="7" t="s">
        <v>19</v>
      </c>
      <c r="D250" s="7" t="s">
        <v>59</v>
      </c>
      <c r="E250" s="7" t="s">
        <v>75</v>
      </c>
      <c r="F250" s="7" t="s">
        <v>67</v>
      </c>
      <c r="G250" s="7">
        <v>2</v>
      </c>
      <c r="H250" s="7">
        <v>1000</v>
      </c>
      <c r="I250" s="7">
        <f t="shared" si="12"/>
        <v>2000</v>
      </c>
      <c r="J250" s="7">
        <f t="shared" si="13"/>
        <v>2023</v>
      </c>
      <c r="K250" s="7" t="str">
        <f t="shared" si="14"/>
        <v>June</v>
      </c>
      <c r="L250" s="7" t="str">
        <f t="shared" si="15"/>
        <v>Q2</v>
      </c>
      <c r="M250" s="7" t="s">
        <v>298</v>
      </c>
      <c r="N250" s="7" t="s">
        <v>305</v>
      </c>
      <c r="O250" s="7" t="s">
        <v>305</v>
      </c>
    </row>
  </sheetData>
  <conditionalFormatting sqref="A1:A250">
    <cfRule type="duplicateValues" dxfId="2" priority="2"/>
  </conditionalFormatting>
  <conditionalFormatting sqref="A1:A1048576">
    <cfRule type="duplicateValues" dxfId="1"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E0B9-E85F-415F-AD72-304ACBECB9ED}">
  <dimension ref="A1:G12"/>
  <sheetViews>
    <sheetView workbookViewId="0">
      <selection activeCell="F6" sqref="F6"/>
    </sheetView>
  </sheetViews>
  <sheetFormatPr defaultRowHeight="14.5" x14ac:dyDescent="0.35"/>
  <cols>
    <col min="1" max="1" width="15.81640625" bestFit="1" customWidth="1"/>
    <col min="2" max="2" width="8" bestFit="1" customWidth="1"/>
    <col min="6" max="6" width="28" bestFit="1" customWidth="1"/>
    <col min="7" max="7" width="13.90625" customWidth="1"/>
    <col min="8" max="8" width="14.6328125" customWidth="1"/>
  </cols>
  <sheetData>
    <row r="1" spans="1:7" ht="20" x14ac:dyDescent="0.4">
      <c r="A1" s="17" t="s">
        <v>85</v>
      </c>
    </row>
    <row r="2" spans="1:7" x14ac:dyDescent="0.35">
      <c r="A2" s="18"/>
    </row>
    <row r="4" spans="1:7" x14ac:dyDescent="0.35">
      <c r="A4" s="13" t="s">
        <v>80</v>
      </c>
      <c r="E4" s="14" t="s">
        <v>81</v>
      </c>
    </row>
    <row r="5" spans="1:7" x14ac:dyDescent="0.35">
      <c r="A5" s="10" t="s">
        <v>77</v>
      </c>
      <c r="B5" t="s">
        <v>84</v>
      </c>
      <c r="E5" s="2" t="s">
        <v>82</v>
      </c>
      <c r="F5" s="2" t="s">
        <v>4</v>
      </c>
      <c r="G5" s="2" t="s">
        <v>83</v>
      </c>
    </row>
    <row r="6" spans="1:7" x14ac:dyDescent="0.35">
      <c r="A6" s="11" t="s">
        <v>62</v>
      </c>
      <c r="B6">
        <v>1010000</v>
      </c>
      <c r="E6" s="15">
        <v>1</v>
      </c>
      <c r="F6" s="15" t="str">
        <f>INDEX($A$6:$A$11,MATCH(G6,$B$6:$B$11,0))</f>
        <v>Laptop</v>
      </c>
      <c r="G6" s="16">
        <f>LARGE($B$6:$B$11,E6)</f>
        <v>2140000</v>
      </c>
    </row>
    <row r="7" spans="1:7" x14ac:dyDescent="0.35">
      <c r="A7" s="11" t="s">
        <v>64</v>
      </c>
      <c r="B7">
        <v>2140000</v>
      </c>
      <c r="E7" s="15">
        <v>2</v>
      </c>
      <c r="F7" s="15" t="str">
        <f t="shared" ref="F7:F10" si="0">INDEX($A$6:$A$11,MATCH(G7,$B$6:$B$11,0))</f>
        <v>Monitor</v>
      </c>
      <c r="G7" s="16">
        <f t="shared" ref="G7:G10" si="1">LARGE($B$6:$B$11,E7)</f>
        <v>1960000</v>
      </c>
    </row>
    <row r="8" spans="1:7" x14ac:dyDescent="0.35">
      <c r="A8" s="11" t="s">
        <v>65</v>
      </c>
      <c r="B8">
        <v>1960000</v>
      </c>
      <c r="E8" s="15">
        <v>3</v>
      </c>
      <c r="F8" s="15" t="str">
        <f t="shared" si="0"/>
        <v>Tablet</v>
      </c>
      <c r="G8" s="16">
        <f t="shared" si="1"/>
        <v>1297000</v>
      </c>
    </row>
    <row r="9" spans="1:7" x14ac:dyDescent="0.35">
      <c r="A9" s="11" t="s">
        <v>63</v>
      </c>
      <c r="B9">
        <v>1195000</v>
      </c>
      <c r="E9" s="15">
        <v>4</v>
      </c>
      <c r="F9" s="15" t="str">
        <f t="shared" si="0"/>
        <v>Phone</v>
      </c>
      <c r="G9" s="16">
        <f t="shared" si="1"/>
        <v>1195000</v>
      </c>
    </row>
    <row r="10" spans="1:7" x14ac:dyDescent="0.35">
      <c r="A10" s="11" t="s">
        <v>66</v>
      </c>
      <c r="B10">
        <v>1297000</v>
      </c>
      <c r="E10" s="15">
        <v>5</v>
      </c>
      <c r="F10" s="15" t="str">
        <f t="shared" si="0"/>
        <v>Unknown Product</v>
      </c>
      <c r="G10" s="16">
        <f t="shared" si="1"/>
        <v>1177000</v>
      </c>
    </row>
    <row r="11" spans="1:7" x14ac:dyDescent="0.35">
      <c r="A11" s="11" t="s">
        <v>75</v>
      </c>
      <c r="B11">
        <v>1177000</v>
      </c>
    </row>
    <row r="12" spans="1:7" x14ac:dyDescent="0.35">
      <c r="A12" s="11" t="s">
        <v>78</v>
      </c>
      <c r="B12">
        <v>8779000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465E-EAAB-4B85-B3F7-98FE9E83056A}">
  <dimension ref="A1:E9"/>
  <sheetViews>
    <sheetView workbookViewId="0">
      <selection activeCell="E5" sqref="E5"/>
    </sheetView>
  </sheetViews>
  <sheetFormatPr defaultRowHeight="14.5" x14ac:dyDescent="0.35"/>
  <cols>
    <col min="1" max="1" width="10.7265625" bestFit="1" customWidth="1"/>
    <col min="2" max="2" width="8" bestFit="1" customWidth="1"/>
    <col min="3" max="3" width="11.26953125" bestFit="1" customWidth="1"/>
    <col min="4" max="4" width="11.36328125" bestFit="1" customWidth="1"/>
    <col min="5" max="5" width="17" bestFit="1" customWidth="1"/>
  </cols>
  <sheetData>
    <row r="1" spans="1:5" ht="20" x14ac:dyDescent="0.4">
      <c r="A1" s="22" t="s">
        <v>103</v>
      </c>
    </row>
    <row r="4" spans="1:5" x14ac:dyDescent="0.35">
      <c r="A4" s="10" t="s">
        <v>3</v>
      </c>
      <c r="B4" t="s">
        <v>84</v>
      </c>
      <c r="C4" t="s">
        <v>87</v>
      </c>
      <c r="D4" s="12" t="s">
        <v>88</v>
      </c>
      <c r="E4" s="12" t="s">
        <v>89</v>
      </c>
    </row>
    <row r="5" spans="1:5" x14ac:dyDescent="0.35">
      <c r="A5" s="11" t="s">
        <v>59</v>
      </c>
      <c r="B5">
        <v>399000</v>
      </c>
      <c r="C5">
        <v>13</v>
      </c>
      <c r="D5">
        <f>IFERROR(B5/C5,0)</f>
        <v>30692.307692307691</v>
      </c>
      <c r="E5" s="20">
        <f>IFERROR(B5/SUM($B$5:$B$9),0)</f>
        <v>0.11478711162255466</v>
      </c>
    </row>
    <row r="6" spans="1:5" x14ac:dyDescent="0.35">
      <c r="A6" s="11" t="s">
        <v>61</v>
      </c>
      <c r="B6">
        <v>265000</v>
      </c>
      <c r="C6">
        <v>9</v>
      </c>
      <c r="D6">
        <f t="shared" ref="D6:D8" si="0">IFERROR(B6/C6,0)</f>
        <v>29444.444444444445</v>
      </c>
      <c r="E6" s="20">
        <f t="shared" ref="E6:E8" si="1">IFERROR(B6/SUM($B$5:$B$9),0)</f>
        <v>7.6237054085155354E-2</v>
      </c>
    </row>
    <row r="7" spans="1:5" x14ac:dyDescent="0.35">
      <c r="A7" s="11" t="s">
        <v>72</v>
      </c>
      <c r="B7">
        <v>987000</v>
      </c>
      <c r="C7">
        <v>22</v>
      </c>
      <c r="D7">
        <f t="shared" si="0"/>
        <v>44863.63636363636</v>
      </c>
      <c r="E7" s="20">
        <f t="shared" si="1"/>
        <v>0.28394706559263522</v>
      </c>
    </row>
    <row r="8" spans="1:5" x14ac:dyDescent="0.35">
      <c r="A8" s="11" t="s">
        <v>60</v>
      </c>
      <c r="B8">
        <v>87000</v>
      </c>
      <c r="C8">
        <v>5</v>
      </c>
      <c r="D8">
        <f t="shared" si="0"/>
        <v>17400</v>
      </c>
      <c r="E8" s="20">
        <f t="shared" si="1"/>
        <v>2.5028768699654775E-2</v>
      </c>
    </row>
    <row r="9" spans="1:5" x14ac:dyDescent="0.35">
      <c r="A9" s="11" t="s">
        <v>78</v>
      </c>
      <c r="B9">
        <v>1738000</v>
      </c>
      <c r="C9">
        <v>49</v>
      </c>
      <c r="D9" s="19"/>
      <c r="E9" s="2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E452-A9A4-4D13-ABFF-FA96719695CA}">
  <dimension ref="A1:D16"/>
  <sheetViews>
    <sheetView workbookViewId="0">
      <selection activeCell="D22" sqref="D22"/>
    </sheetView>
  </sheetViews>
  <sheetFormatPr defaultRowHeight="14.5" x14ac:dyDescent="0.35"/>
  <cols>
    <col min="1" max="1" width="12.36328125" bestFit="1" customWidth="1"/>
    <col min="2" max="2" width="11.26953125" bestFit="1" customWidth="1"/>
    <col min="3" max="3" width="16.36328125" bestFit="1" customWidth="1"/>
    <col min="4" max="4" width="16.54296875" customWidth="1"/>
  </cols>
  <sheetData>
    <row r="1" spans="1:4" ht="20" x14ac:dyDescent="0.4">
      <c r="A1" s="22" t="s">
        <v>102</v>
      </c>
    </row>
    <row r="3" spans="1:4" x14ac:dyDescent="0.35">
      <c r="A3" s="10" t="s">
        <v>77</v>
      </c>
      <c r="B3" t="s">
        <v>79</v>
      </c>
      <c r="C3" t="s">
        <v>86</v>
      </c>
      <c r="D3" s="12" t="s">
        <v>86</v>
      </c>
    </row>
    <row r="4" spans="1:4" x14ac:dyDescent="0.35">
      <c r="A4" s="11" t="s">
        <v>90</v>
      </c>
      <c r="B4">
        <v>695000</v>
      </c>
      <c r="C4">
        <v>18</v>
      </c>
      <c r="D4">
        <f>IFERROR(B4/C4,0)</f>
        <v>38611.111111111109</v>
      </c>
    </row>
    <row r="5" spans="1:4" x14ac:dyDescent="0.35">
      <c r="A5" s="11" t="s">
        <v>91</v>
      </c>
      <c r="B5">
        <v>903000</v>
      </c>
      <c r="C5">
        <v>21</v>
      </c>
      <c r="D5">
        <f t="shared" ref="D5:D16" si="0">IFERROR(B5/C5,0)</f>
        <v>43000</v>
      </c>
    </row>
    <row r="6" spans="1:4" x14ac:dyDescent="0.35">
      <c r="A6" s="11" t="s">
        <v>92</v>
      </c>
      <c r="B6">
        <v>696000</v>
      </c>
      <c r="C6">
        <v>20</v>
      </c>
      <c r="D6">
        <f t="shared" si="0"/>
        <v>34800</v>
      </c>
    </row>
    <row r="7" spans="1:4" x14ac:dyDescent="0.35">
      <c r="A7" s="11" t="s">
        <v>93</v>
      </c>
      <c r="B7">
        <v>788000</v>
      </c>
      <c r="C7">
        <v>16</v>
      </c>
      <c r="D7">
        <f t="shared" si="0"/>
        <v>49250</v>
      </c>
    </row>
    <row r="8" spans="1:4" x14ac:dyDescent="0.35">
      <c r="A8" s="11" t="s">
        <v>94</v>
      </c>
      <c r="B8">
        <v>485000</v>
      </c>
      <c r="C8">
        <v>21</v>
      </c>
      <c r="D8">
        <f t="shared" si="0"/>
        <v>23095.238095238095</v>
      </c>
    </row>
    <row r="9" spans="1:4" x14ac:dyDescent="0.35">
      <c r="A9" s="11" t="s">
        <v>95</v>
      </c>
      <c r="B9">
        <v>1720000</v>
      </c>
      <c r="C9">
        <v>49</v>
      </c>
      <c r="D9">
        <f t="shared" si="0"/>
        <v>35102.040816326531</v>
      </c>
    </row>
    <row r="10" spans="1:4" x14ac:dyDescent="0.35">
      <c r="A10" s="11" t="s">
        <v>96</v>
      </c>
      <c r="B10">
        <v>496000</v>
      </c>
      <c r="C10">
        <v>18</v>
      </c>
      <c r="D10">
        <f t="shared" si="0"/>
        <v>27555.555555555555</v>
      </c>
    </row>
    <row r="11" spans="1:4" x14ac:dyDescent="0.35">
      <c r="A11" s="11" t="s">
        <v>97</v>
      </c>
      <c r="B11">
        <v>648000</v>
      </c>
      <c r="C11">
        <v>21</v>
      </c>
      <c r="D11">
        <f t="shared" si="0"/>
        <v>30857.142857142859</v>
      </c>
    </row>
    <row r="12" spans="1:4" x14ac:dyDescent="0.35">
      <c r="A12" s="11" t="s">
        <v>98</v>
      </c>
      <c r="B12">
        <v>610000</v>
      </c>
      <c r="C12">
        <v>16</v>
      </c>
      <c r="D12">
        <f t="shared" si="0"/>
        <v>38125</v>
      </c>
    </row>
    <row r="13" spans="1:4" x14ac:dyDescent="0.35">
      <c r="A13" s="11" t="s">
        <v>99</v>
      </c>
      <c r="B13">
        <v>408000</v>
      </c>
      <c r="C13">
        <v>14</v>
      </c>
      <c r="D13">
        <f t="shared" si="0"/>
        <v>29142.857142857141</v>
      </c>
    </row>
    <row r="14" spans="1:4" x14ac:dyDescent="0.35">
      <c r="A14" s="11" t="s">
        <v>100</v>
      </c>
      <c r="B14">
        <v>565000</v>
      </c>
      <c r="C14">
        <v>10</v>
      </c>
      <c r="D14">
        <f t="shared" si="0"/>
        <v>56500</v>
      </c>
    </row>
    <row r="15" spans="1:4" x14ac:dyDescent="0.35">
      <c r="A15" s="11" t="s">
        <v>101</v>
      </c>
      <c r="B15">
        <v>765000</v>
      </c>
      <c r="C15">
        <v>25</v>
      </c>
      <c r="D15">
        <f t="shared" si="0"/>
        <v>30600</v>
      </c>
    </row>
    <row r="16" spans="1:4" x14ac:dyDescent="0.35">
      <c r="A16" s="11" t="s">
        <v>78</v>
      </c>
      <c r="B16">
        <v>8779000</v>
      </c>
      <c r="C16">
        <v>249</v>
      </c>
      <c r="D16">
        <f t="shared" si="0"/>
        <v>35257.0281124498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5F48-A608-4CC6-8269-1484D5C4D00E}">
  <dimension ref="A1:B14"/>
  <sheetViews>
    <sheetView workbookViewId="0">
      <selection activeCell="B5" sqref="B5"/>
    </sheetView>
  </sheetViews>
  <sheetFormatPr defaultRowHeight="14.5" x14ac:dyDescent="0.35"/>
  <cols>
    <col min="1" max="1" width="20.08984375" customWidth="1"/>
    <col min="2" max="2" width="23.453125" customWidth="1"/>
  </cols>
  <sheetData>
    <row r="1" spans="1:2" ht="20" x14ac:dyDescent="0.4">
      <c r="A1" s="22" t="s">
        <v>273</v>
      </c>
    </row>
    <row r="2" spans="1:2" x14ac:dyDescent="0.35">
      <c r="A2" s="23"/>
    </row>
    <row r="4" spans="1:2" x14ac:dyDescent="0.35">
      <c r="A4" s="13" t="s">
        <v>274</v>
      </c>
      <c r="B4" s="24">
        <v>141</v>
      </c>
    </row>
    <row r="6" spans="1:2" s="13" customFormat="1" ht="14.5" customHeight="1" x14ac:dyDescent="0.3">
      <c r="A6" s="28" t="s">
        <v>275</v>
      </c>
    </row>
    <row r="7" spans="1:2" x14ac:dyDescent="0.35">
      <c r="A7" s="27" t="s">
        <v>1</v>
      </c>
      <c r="B7" s="4">
        <f>VLOOKUP($B$4,'Retail sales Data'!$A$2:$L$250,2,FALSE())</f>
        <v>44927</v>
      </c>
    </row>
    <row r="8" spans="1:2" x14ac:dyDescent="0.35">
      <c r="A8" s="27" t="s">
        <v>2</v>
      </c>
      <c r="B8" s="25" t="str">
        <f>VLOOKUP($B$4,'Retail sales Data'!$A$2:$L$250,3,FALSE())</f>
        <v>Customer_17</v>
      </c>
    </row>
    <row r="9" spans="1:2" x14ac:dyDescent="0.35">
      <c r="A9" s="27" t="s">
        <v>3</v>
      </c>
      <c r="B9" t="str">
        <f>VLOOKUP($B$4,'Retail sales Data'!$A$2:$L$250,4,FALSE())</f>
        <v>South</v>
      </c>
    </row>
    <row r="10" spans="1:2" x14ac:dyDescent="0.35">
      <c r="A10" s="27" t="s">
        <v>4</v>
      </c>
      <c r="B10" s="25" t="str">
        <f>VLOOKUP($B$4,'Retail sales Data'!$A$2:$L$250,5,FALSE())</f>
        <v>Tablet</v>
      </c>
    </row>
    <row r="11" spans="1:2" x14ac:dyDescent="0.35">
      <c r="A11" s="27" t="s">
        <v>5</v>
      </c>
      <c r="B11" s="25" t="str">
        <f>VLOOKUP($B$4,'Retail sales Data'!$A$2:$L$250,6,FALSE())</f>
        <v>Electronics</v>
      </c>
    </row>
    <row r="12" spans="1:2" x14ac:dyDescent="0.35">
      <c r="A12" s="27" t="s">
        <v>6</v>
      </c>
      <c r="B12" s="25">
        <f>VLOOKUP($B$4,'Retail sales Data'!$A$2:$L$250,7,FALSE())</f>
        <v>2</v>
      </c>
    </row>
    <row r="13" spans="1:2" x14ac:dyDescent="0.35">
      <c r="A13" s="27" t="s">
        <v>7</v>
      </c>
      <c r="B13" s="26">
        <f>VLOOKUP($B$4,'Retail sales Data'!$A$2:$L$250,8,FALSE())</f>
        <v>10000</v>
      </c>
    </row>
    <row r="14" spans="1:2" x14ac:dyDescent="0.35">
      <c r="A14" s="27" t="s">
        <v>8</v>
      </c>
      <c r="B14" s="26">
        <f>VLOOKUP($B$4,'Retail sales Data'!$A$2:$L$250,9,FALSE())</f>
        <v>20000</v>
      </c>
    </row>
  </sheetData>
  <dataValidations count="1">
    <dataValidation type="whole" allowBlank="1" errorTitle="Invalid Order_ID" error="Enter a whole number Order_ID between 1 and 250" sqref="B4" xr:uid="{74046E6A-AEF9-4E4B-8923-F7C1D88D78D4}">
      <formula1>1</formula1>
      <formula2>250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 Set</vt:lpstr>
      <vt:lpstr>Notes</vt:lpstr>
      <vt:lpstr>Retail sales Data</vt:lpstr>
      <vt:lpstr>Top 5 Ranking</vt:lpstr>
      <vt:lpstr>Region wise Sales</vt:lpstr>
      <vt:lpstr>Monthly Sales</vt:lpstr>
      <vt:lpstr>look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Monish Madhu</cp:lastModifiedBy>
  <dcterms:created xsi:type="dcterms:W3CDTF">2026-03-18T07:59:34Z</dcterms:created>
  <dcterms:modified xsi:type="dcterms:W3CDTF">2026-07-24T02:19:04Z</dcterms:modified>
</cp:coreProperties>
</file>